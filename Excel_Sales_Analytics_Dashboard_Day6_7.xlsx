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Lookup Practice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How To Pract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sz val="10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4" fontId="5" fillId="3" borderId="0" applyAlignment="1" pivotButton="0" quotePrefix="0" xfId="0">
      <alignment vertical="center"/>
    </xf>
    <xf numFmtId="1" fontId="5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'Dashboard'!$D$10:$D$12</f>
            </numRef>
          </cat>
          <val>
            <numRef>
              <f>'Dashboard'!$E$10:$E$12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'Dashboard'!$A$19:$A$23</f>
            </numRef>
          </cat>
          <val>
            <numRef>
              <f>'Dashboard'!$B$19:$B$23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Sales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'Dashboard'!$G$10:$G$13</f>
            </numRef>
          </cat>
          <val>
            <numRef>
              <f>'Dashboard'!$H$10:$H$13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39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" displayName="RawSales" ref="A1:H53" headerRowCount="1">
  <autoFilter ref="A1:H53"/>
  <tableColumns count="8">
    <tableColumn id="1" name="Order ID"/>
    <tableColumn id="2" name="Order Date"/>
    <tableColumn id="3" name="Customer Name"/>
    <tableColumn id="4" name="Region"/>
    <tableColumn id="5" name="Product Category"/>
    <tableColumn id="6" name="Quantity"/>
    <tableColumn id="7" name="Unit Price"/>
    <tableColumn id="8" name="Sales R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Data" displayName="SalesData" ref="A1:O53" headerRowCount="1">
  <autoFilter ref="A1:O53"/>
  <tableColumns count="15">
    <tableColumn id="1" name="Order ID"/>
    <tableColumn id="2" name="Order Date"/>
    <tableColumn id="3" name="Customer Name"/>
    <tableColumn id="4" name="Region"/>
    <tableColumn id="5" name="Product Category"/>
    <tableColumn id="6" name="Quantity"/>
    <tableColumn id="7" name="Unit Price"/>
    <tableColumn id="8" name="Sales Rep"/>
    <tableColumn id="9" name="Clean Customer Name"/>
    <tableColumn id="10" name="Total Sales"/>
    <tableColumn id="11" name="Order Size"/>
    <tableColumn id="12" name="Sales Level"/>
    <tableColumn id="13" name="Priority Order"/>
    <tableColumn id="14" name="Special Order"/>
    <tableColumn id="15" name="Price per Un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6" customWidth="1" min="3" max="3"/>
    <col width="19" customWidth="1" min="4" max="4"/>
    <col width="21" customWidth="1" min="5" max="5"/>
    <col width="10" customWidth="1" min="6" max="6"/>
    <col width="16" customWidth="1" min="7" max="7"/>
    <col width="17" customWidth="1" min="8" max="8"/>
  </cols>
  <sheetData>
    <row r="1">
      <c r="A1" s="1" t="inlineStr">
        <is>
          <t>SALES ANALYTICS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Excel Sales Analysis | Day 6–7 Practice Project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TOTAL SALES</t>
        </is>
      </c>
      <c r="B4" s="6" t="n"/>
      <c r="C4" s="5" t="inlineStr">
        <is>
          <t>TOTAL ORDERS</t>
        </is>
      </c>
      <c r="D4" s="6" t="n"/>
      <c r="E4" s="5" t="inlineStr">
        <is>
          <t>AVERAGE ORDER VALUE</t>
        </is>
      </c>
      <c r="F4" s="6" t="n"/>
      <c r="G4" s="5" t="inlineStr">
        <is>
          <t>TOTAL QUANTITY</t>
        </is>
      </c>
      <c r="H4" s="6" t="n"/>
    </row>
    <row r="5">
      <c r="A5" s="7">
        <f>'Analysis'!B4</f>
        <v/>
      </c>
      <c r="B5" s="6" t="n"/>
      <c r="C5" s="8">
        <f>'Analysis'!B8</f>
        <v/>
      </c>
      <c r="D5" s="6" t="n"/>
      <c r="E5" s="7">
        <f>'Analysis'!B5</f>
        <v/>
      </c>
      <c r="F5" s="6" t="n"/>
      <c r="G5" s="8">
        <f>'Analysis'!B9</f>
        <v/>
      </c>
      <c r="H5" s="6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>Sales by Region</t>
        </is>
      </c>
      <c r="B8" s="4" t="n"/>
      <c r="C8" s="4" t="n"/>
      <c r="D8" s="4" t="inlineStr">
        <is>
          <t>Sales by Category</t>
        </is>
      </c>
      <c r="E8" s="4" t="n"/>
      <c r="F8" s="4" t="n"/>
      <c r="G8" s="4" t="inlineStr">
        <is>
          <t>Sales by Rep</t>
        </is>
      </c>
      <c r="H8" s="4" t="n"/>
    </row>
    <row r="9">
      <c r="A9" s="4" t="inlineStr">
        <is>
          <t>Region</t>
        </is>
      </c>
      <c r="B9" s="4" t="inlineStr">
        <is>
          <t>Sales</t>
        </is>
      </c>
      <c r="C9" s="4" t="n"/>
      <c r="D9" s="4" t="inlineStr">
        <is>
          <t>Category</t>
        </is>
      </c>
      <c r="E9" s="4" t="inlineStr">
        <is>
          <t>Sales</t>
        </is>
      </c>
      <c r="F9" s="4" t="n"/>
      <c r="G9" s="4" t="inlineStr">
        <is>
          <t>Rep</t>
        </is>
      </c>
      <c r="H9" s="4" t="inlineStr">
        <is>
          <t>Sales</t>
        </is>
      </c>
    </row>
    <row r="10">
      <c r="A10" s="4" t="inlineStr">
        <is>
          <t>North</t>
        </is>
      </c>
      <c r="B10" s="4">
        <f>'Analysis'!B14</f>
        <v/>
      </c>
      <c r="C10" s="4" t="n"/>
      <c r="D10" s="4" t="inlineStr">
        <is>
          <t>Electronics</t>
        </is>
      </c>
      <c r="E10" s="4">
        <f>'Analysis'!F14</f>
        <v/>
      </c>
      <c r="F10" s="4" t="n"/>
      <c r="G10" s="4" t="inlineStr">
        <is>
          <t>Alice</t>
        </is>
      </c>
      <c r="H10" s="4">
        <f>'Analysis'!J14</f>
        <v/>
      </c>
    </row>
    <row r="11">
      <c r="A11" s="4" t="inlineStr">
        <is>
          <t>South</t>
        </is>
      </c>
      <c r="B11" s="4">
        <f>'Analysis'!B15</f>
        <v/>
      </c>
      <c r="C11" s="4" t="n"/>
      <c r="D11" s="4" t="inlineStr">
        <is>
          <t>Apparel</t>
        </is>
      </c>
      <c r="E11" s="4">
        <f>'Analysis'!F15</f>
        <v/>
      </c>
      <c r="F11" s="4" t="n"/>
      <c r="G11" s="4" t="inlineStr">
        <is>
          <t>Bob</t>
        </is>
      </c>
      <c r="H11" s="4">
        <f>'Analysis'!J15</f>
        <v/>
      </c>
    </row>
    <row r="12">
      <c r="A12" s="4" t="inlineStr">
        <is>
          <t>East</t>
        </is>
      </c>
      <c r="B12" s="4">
        <f>'Analysis'!B16</f>
        <v/>
      </c>
      <c r="C12" s="4" t="n"/>
      <c r="D12" s="4" t="inlineStr">
        <is>
          <t>Home</t>
        </is>
      </c>
      <c r="E12" s="4">
        <f>'Analysis'!F16</f>
        <v/>
      </c>
      <c r="F12" s="4" t="n"/>
      <c r="G12" s="4" t="inlineStr">
        <is>
          <t>Charlie</t>
        </is>
      </c>
      <c r="H12" s="4">
        <f>'Analysis'!J16</f>
        <v/>
      </c>
    </row>
    <row r="13">
      <c r="A13" s="4" t="inlineStr">
        <is>
          <t>West</t>
        </is>
      </c>
      <c r="B13" s="4">
        <f>'Analysis'!B17</f>
        <v/>
      </c>
      <c r="C13" s="4" t="n"/>
      <c r="D13" s="4" t="n"/>
      <c r="E13" s="4" t="n"/>
      <c r="F13" s="4" t="n"/>
      <c r="G13" s="4" t="inlineStr">
        <is>
          <t>David</t>
        </is>
      </c>
      <c r="H13" s="4">
        <f>'Analysis'!J17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inlineStr">
        <is>
          <t>Monthly Sales Trend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Month</t>
        </is>
      </c>
      <c r="B18" s="4" t="inlineStr">
        <is>
          <t>Sales</t>
        </is>
      </c>
      <c r="C18" s="4" t="n"/>
      <c r="D18" s="4" t="n"/>
      <c r="E18" s="4" t="n"/>
      <c r="F18" s="4" t="n"/>
      <c r="G18" s="4" t="n"/>
      <c r="H18" s="4" t="n"/>
    </row>
    <row r="19">
      <c r="A19" s="4" t="inlineStr">
        <is>
          <t>2026-01</t>
        </is>
      </c>
      <c r="B19" s="4">
        <f>'Analysis'!B22</f>
        <v/>
      </c>
      <c r="C19" s="4" t="n"/>
      <c r="D19" s="4" t="n"/>
      <c r="E19" s="4" t="n"/>
      <c r="F19" s="4" t="n"/>
      <c r="G19" s="4" t="n"/>
      <c r="H19" s="4" t="n"/>
    </row>
    <row r="20">
      <c r="A20" s="4" t="inlineStr">
        <is>
          <t>2026-02</t>
        </is>
      </c>
      <c r="B20" s="4">
        <f>'Analysis'!B23</f>
        <v/>
      </c>
      <c r="C20" s="4" t="n"/>
      <c r="D20" s="4" t="n"/>
      <c r="E20" s="4" t="n"/>
      <c r="F20" s="4" t="n"/>
      <c r="G20" s="4" t="n"/>
      <c r="H20" s="4" t="n"/>
    </row>
    <row r="21">
      <c r="A21" s="4" t="inlineStr">
        <is>
          <t>2026-03</t>
        </is>
      </c>
      <c r="B21" s="4">
        <f>'Analysis'!B24</f>
        <v/>
      </c>
      <c r="C21" s="4" t="n"/>
      <c r="D21" s="4" t="n"/>
      <c r="E21" s="4" t="n"/>
      <c r="F21" s="4" t="n"/>
      <c r="G21" s="4" t="n"/>
      <c r="H21" s="4" t="n"/>
    </row>
    <row r="22">
      <c r="A22" s="4" t="inlineStr">
        <is>
          <t>2026-04</t>
        </is>
      </c>
      <c r="B22" s="4">
        <f>'Analysis'!B25</f>
        <v/>
      </c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2026-05</t>
        </is>
      </c>
      <c r="B23" s="4">
        <f>'Analysis'!B26</f>
        <v/>
      </c>
      <c r="C23" s="4" t="n"/>
      <c r="D23" s="4" t="n"/>
      <c r="E23" s="4" t="n"/>
      <c r="F23" s="4" t="n"/>
      <c r="G23" s="4" t="n"/>
      <c r="H23" s="4" t="n"/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8" customWidth="1" min="5" max="5"/>
    <col width="10" customWidth="1" min="6" max="6"/>
    <col width="12" customWidth="1" min="7" max="7"/>
    <col width="11" customWidth="1" min="8" max="8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Customer Name</t>
        </is>
      </c>
      <c r="D1" s="2" t="inlineStr">
        <is>
          <t>Region</t>
        </is>
      </c>
      <c r="E1" s="2" t="inlineStr">
        <is>
          <t>Product Category</t>
        </is>
      </c>
      <c r="F1" s="2" t="inlineStr">
        <is>
          <t>Quantity</t>
        </is>
      </c>
      <c r="G1" s="2" t="inlineStr">
        <is>
          <t>Unit Price</t>
        </is>
      </c>
      <c r="H1" s="2" t="inlineStr">
        <is>
          <t>Sales Rep</t>
        </is>
      </c>
    </row>
    <row r="2">
      <c r="A2" s="4" t="inlineStr">
        <is>
          <t>ORD-1001</t>
        </is>
      </c>
      <c r="B2" s="9" t="inlineStr">
        <is>
          <t>2026-01-02</t>
        </is>
      </c>
      <c r="C2" s="4" t="inlineStr">
        <is>
          <t>john SMITH</t>
        </is>
      </c>
      <c r="D2" s="4" t="inlineStr">
        <is>
          <t>North</t>
        </is>
      </c>
      <c r="E2" s="4" t="inlineStr">
        <is>
          <t>Electronics</t>
        </is>
      </c>
      <c r="F2" s="4" t="n">
        <v>3</v>
      </c>
      <c r="G2" s="10" t="n">
        <v>450</v>
      </c>
      <c r="H2" s="4" t="inlineStr">
        <is>
          <t>Alice</t>
        </is>
      </c>
    </row>
    <row r="3">
      <c r="A3" s="4" t="inlineStr">
        <is>
          <t>ORD-1002</t>
        </is>
      </c>
      <c r="B3" s="9" t="inlineStr">
        <is>
          <t>2026-01-04</t>
        </is>
      </c>
      <c r="C3" s="4" t="inlineStr">
        <is>
          <t>MARY JOHNSON</t>
        </is>
      </c>
      <c r="D3" s="4" t="inlineStr">
        <is>
          <t>South</t>
        </is>
      </c>
      <c r="E3" s="4" t="inlineStr">
        <is>
          <t>Apparel</t>
        </is>
      </c>
      <c r="F3" s="4" t="n">
        <v>5</v>
      </c>
      <c r="G3" s="10" t="n">
        <v>60</v>
      </c>
      <c r="H3" s="4" t="inlineStr">
        <is>
          <t>Bob</t>
        </is>
      </c>
    </row>
    <row r="4">
      <c r="A4" s="4" t="inlineStr">
        <is>
          <t>ORD-1003</t>
        </is>
      </c>
      <c r="B4" s="9" t="inlineStr">
        <is>
          <t>2026-01-06</t>
        </is>
      </c>
      <c r="C4" s="4" t="inlineStr">
        <is>
          <t>robert davis</t>
        </is>
      </c>
      <c r="D4" s="4" t="inlineStr">
        <is>
          <t>East</t>
        </is>
      </c>
      <c r="E4" s="4" t="inlineStr">
        <is>
          <t>Home</t>
        </is>
      </c>
      <c r="F4" s="4" t="n">
        <v>2</v>
      </c>
      <c r="G4" s="10" t="n">
        <v>120</v>
      </c>
      <c r="H4" s="4" t="inlineStr">
        <is>
          <t>Charlie</t>
        </is>
      </c>
    </row>
    <row r="5">
      <c r="A5" s="4" t="inlineStr">
        <is>
          <t>ORD-1004</t>
        </is>
      </c>
      <c r="B5" s="9" t="inlineStr">
        <is>
          <t>2026-01-08</t>
        </is>
      </c>
      <c r="C5" s="4" t="inlineStr">
        <is>
          <t>lisa brown</t>
        </is>
      </c>
      <c r="D5" s="4" t="inlineStr">
        <is>
          <t>West</t>
        </is>
      </c>
      <c r="E5" s="4" t="inlineStr">
        <is>
          <t>Electronics</t>
        </is>
      </c>
      <c r="F5" s="4" t="n">
        <v>1</v>
      </c>
      <c r="G5" s="10" t="n">
        <v>850</v>
      </c>
      <c r="H5" s="4" t="inlineStr">
        <is>
          <t>Alice</t>
        </is>
      </c>
    </row>
    <row r="6">
      <c r="A6" s="4" t="inlineStr">
        <is>
          <t>ORD-1005</t>
        </is>
      </c>
      <c r="B6" s="9" t="inlineStr">
        <is>
          <t>2026-01-10</t>
        </is>
      </c>
      <c r="C6" s="4" t="inlineStr">
        <is>
          <t>michael WILSON</t>
        </is>
      </c>
      <c r="D6" s="4" t="inlineStr">
        <is>
          <t>North</t>
        </is>
      </c>
      <c r="E6" s="4" t="inlineStr">
        <is>
          <t>Apparel</t>
        </is>
      </c>
      <c r="F6" s="4" t="n">
        <v>4</v>
      </c>
      <c r="G6" s="10" t="n">
        <v>75</v>
      </c>
      <c r="H6" s="4" t="inlineStr">
        <is>
          <t>David</t>
        </is>
      </c>
    </row>
    <row r="7">
      <c r="A7" s="4" t="inlineStr">
        <is>
          <t>ORD-1006</t>
        </is>
      </c>
      <c r="B7" s="9" t="inlineStr">
        <is>
          <t>2026-01-12</t>
        </is>
      </c>
      <c r="C7" s="4" t="inlineStr">
        <is>
          <t>sarah miller</t>
        </is>
      </c>
      <c r="D7" s="4" t="inlineStr">
        <is>
          <t>South</t>
        </is>
      </c>
      <c r="E7" s="4" t="inlineStr">
        <is>
          <t>Home</t>
        </is>
      </c>
      <c r="F7" s="4" t="n">
        <v>6</v>
      </c>
      <c r="G7" s="10" t="n">
        <v>90</v>
      </c>
      <c r="H7" s="4" t="inlineStr">
        <is>
          <t>Bob</t>
        </is>
      </c>
    </row>
    <row r="8">
      <c r="A8" s="4" t="inlineStr">
        <is>
          <t>ORD-1007</t>
        </is>
      </c>
      <c r="B8" s="9" t="inlineStr">
        <is>
          <t>2026-01-15</t>
        </is>
      </c>
      <c r="C8" s="4" t="inlineStr">
        <is>
          <t>david TAYLOR</t>
        </is>
      </c>
      <c r="D8" s="4" t="inlineStr">
        <is>
          <t>East</t>
        </is>
      </c>
      <c r="E8" s="4" t="inlineStr">
        <is>
          <t>Electronics</t>
        </is>
      </c>
      <c r="F8" s="4" t="n">
        <v>2</v>
      </c>
      <c r="G8" s="10" t="n">
        <v>450</v>
      </c>
      <c r="H8" s="4" t="inlineStr">
        <is>
          <t>Charlie</t>
        </is>
      </c>
    </row>
    <row r="9">
      <c r="A9" s="4" t="inlineStr">
        <is>
          <t>ORD-1008</t>
        </is>
      </c>
      <c r="B9" s="9" t="inlineStr">
        <is>
          <t>2026-01-18</t>
        </is>
      </c>
      <c r="C9" s="4" t="inlineStr">
        <is>
          <t>emily ANDERSON</t>
        </is>
      </c>
      <c r="D9" s="4" t="inlineStr">
        <is>
          <t>West</t>
        </is>
      </c>
      <c r="E9" s="4" t="inlineStr">
        <is>
          <t>Apparel</t>
        </is>
      </c>
      <c r="F9" s="4" t="n">
        <v>10</v>
      </c>
      <c r="G9" s="10" t="n">
        <v>40</v>
      </c>
      <c r="H9" s="4" t="inlineStr">
        <is>
          <t>David</t>
        </is>
      </c>
    </row>
    <row r="10">
      <c r="A10" s="4" t="inlineStr">
        <is>
          <t>ORD-1009</t>
        </is>
      </c>
      <c r="B10" s="9" t="inlineStr">
        <is>
          <t>2026-01-20</t>
        </is>
      </c>
      <c r="C10" s="4" t="inlineStr">
        <is>
          <t>james THOMAS</t>
        </is>
      </c>
      <c r="D10" s="4" t="inlineStr">
        <is>
          <t>North</t>
        </is>
      </c>
      <c r="E10" s="4" t="inlineStr">
        <is>
          <t>Home</t>
        </is>
      </c>
      <c r="F10" s="4" t="n">
        <v>3</v>
      </c>
      <c r="G10" s="10" t="n">
        <v>150</v>
      </c>
      <c r="H10" s="4" t="inlineStr">
        <is>
          <t>Alice</t>
        </is>
      </c>
    </row>
    <row r="11">
      <c r="A11" s="4" t="inlineStr">
        <is>
          <t>ORD-1010</t>
        </is>
      </c>
      <c r="B11" s="9" t="inlineStr">
        <is>
          <t>2026-01-22</t>
        </is>
      </c>
      <c r="C11" s="4" t="inlineStr">
        <is>
          <t>jessica JACKSON</t>
        </is>
      </c>
      <c r="D11" s="4" t="inlineStr">
        <is>
          <t>South</t>
        </is>
      </c>
      <c r="E11" s="4" t="inlineStr">
        <is>
          <t>Electronics</t>
        </is>
      </c>
      <c r="F11" s="4" t="n">
        <v>1</v>
      </c>
      <c r="G11" s="10" t="n">
        <v>1200</v>
      </c>
      <c r="H11" s="4" t="inlineStr">
        <is>
          <t>Bob</t>
        </is>
      </c>
    </row>
    <row r="12">
      <c r="A12" s="4" t="inlineStr">
        <is>
          <t>ORD-1011</t>
        </is>
      </c>
      <c r="B12" s="9" t="inlineStr">
        <is>
          <t>2026-01-25</t>
        </is>
      </c>
      <c r="C12" s="4" t="inlineStr">
        <is>
          <t>daniel WHITE</t>
        </is>
      </c>
      <c r="D12" s="4" t="inlineStr">
        <is>
          <t>East</t>
        </is>
      </c>
      <c r="E12" s="4" t="inlineStr">
        <is>
          <t>Apparel</t>
        </is>
      </c>
      <c r="F12" s="4" t="n">
        <v>7</v>
      </c>
      <c r="G12" s="10" t="n">
        <v>55</v>
      </c>
      <c r="H12" s="4" t="inlineStr">
        <is>
          <t>Charlie</t>
        </is>
      </c>
    </row>
    <row r="13">
      <c r="A13" s="4" t="inlineStr">
        <is>
          <t>ORD-1012</t>
        </is>
      </c>
      <c r="B13" s="9" t="inlineStr">
        <is>
          <t>2026-01-28</t>
        </is>
      </c>
      <c r="C13" s="4" t="inlineStr">
        <is>
          <t>ashley HARRIS</t>
        </is>
      </c>
      <c r="D13" s="4" t="inlineStr">
        <is>
          <t>West</t>
        </is>
      </c>
      <c r="E13" s="4" t="inlineStr">
        <is>
          <t>Home</t>
        </is>
      </c>
      <c r="F13" s="4" t="n">
        <v>4</v>
      </c>
      <c r="G13" s="10" t="n">
        <v>200</v>
      </c>
      <c r="H13" s="4" t="inlineStr">
        <is>
          <t>David</t>
        </is>
      </c>
    </row>
    <row r="14">
      <c r="A14" s="4" t="inlineStr">
        <is>
          <t>ORD-1013</t>
        </is>
      </c>
      <c r="B14" s="9" t="inlineStr">
        <is>
          <t>2026-02-01</t>
        </is>
      </c>
      <c r="C14" s="4" t="inlineStr">
        <is>
          <t>brian MARTIN</t>
        </is>
      </c>
      <c r="D14" s="4" t="inlineStr">
        <is>
          <t>North</t>
        </is>
      </c>
      <c r="E14" s="4" t="inlineStr">
        <is>
          <t>Electronics</t>
        </is>
      </c>
      <c r="F14" s="4" t="n">
        <v>2</v>
      </c>
      <c r="G14" s="10" t="n">
        <v>600</v>
      </c>
      <c r="H14" s="4" t="inlineStr">
        <is>
          <t>Alice</t>
        </is>
      </c>
    </row>
    <row r="15">
      <c r="A15" s="4" t="inlineStr">
        <is>
          <t>ORD-1014</t>
        </is>
      </c>
      <c r="B15" s="9" t="inlineStr">
        <is>
          <t>2026-02-03</t>
        </is>
      </c>
      <c r="C15" s="4" t="inlineStr">
        <is>
          <t>amanda CLARK</t>
        </is>
      </c>
      <c r="D15" s="4" t="inlineStr">
        <is>
          <t>South</t>
        </is>
      </c>
      <c r="E15" s="4" t="inlineStr">
        <is>
          <t>Apparel</t>
        </is>
      </c>
      <c r="F15" s="4" t="n">
        <v>8</v>
      </c>
      <c r="G15" s="10" t="n">
        <v>45</v>
      </c>
      <c r="H15" s="4" t="inlineStr">
        <is>
          <t>Bob</t>
        </is>
      </c>
    </row>
    <row r="16">
      <c r="A16" s="4" t="inlineStr">
        <is>
          <t>ORD-1015</t>
        </is>
      </c>
      <c r="B16" s="9" t="inlineStr">
        <is>
          <t>2026-02-05</t>
        </is>
      </c>
      <c r="C16" s="4" t="inlineStr">
        <is>
          <t>joshua LEWIS</t>
        </is>
      </c>
      <c r="D16" s="4" t="inlineStr">
        <is>
          <t>East</t>
        </is>
      </c>
      <c r="E16" s="4" t="inlineStr">
        <is>
          <t>Home</t>
        </is>
      </c>
      <c r="F16" s="4" t="n">
        <v>5</v>
      </c>
      <c r="G16" s="10" t="n">
        <v>110</v>
      </c>
      <c r="H16" s="4" t="inlineStr">
        <is>
          <t>Charlie</t>
        </is>
      </c>
    </row>
    <row r="17">
      <c r="A17" s="4" t="inlineStr">
        <is>
          <t>ORD-1016</t>
        </is>
      </c>
      <c r="B17" s="9" t="inlineStr">
        <is>
          <t>2026-02-08</t>
        </is>
      </c>
      <c r="C17" s="4" t="inlineStr">
        <is>
          <t>MEGAN WALKER</t>
        </is>
      </c>
      <c r="D17" s="4" t="inlineStr">
        <is>
          <t>West</t>
        </is>
      </c>
      <c r="E17" s="4" t="inlineStr">
        <is>
          <t>Electronics</t>
        </is>
      </c>
      <c r="F17" s="4" t="n">
        <v>3</v>
      </c>
      <c r="G17" s="10" t="n">
        <v>700</v>
      </c>
      <c r="H17" s="4" t="inlineStr">
        <is>
          <t>Alice</t>
        </is>
      </c>
    </row>
    <row r="18">
      <c r="A18" s="4" t="inlineStr">
        <is>
          <t>ORD-1017</t>
        </is>
      </c>
      <c r="B18" s="9" t="inlineStr">
        <is>
          <t>2026-02-10</t>
        </is>
      </c>
      <c r="C18" s="4" t="inlineStr">
        <is>
          <t>kevin HALL</t>
        </is>
      </c>
      <c r="D18" s="4" t="inlineStr">
        <is>
          <t>North</t>
        </is>
      </c>
      <c r="E18" s="4" t="inlineStr">
        <is>
          <t>Apparel</t>
        </is>
      </c>
      <c r="F18" s="4" t="n">
        <v>2</v>
      </c>
      <c r="G18" s="10" t="n">
        <v>80</v>
      </c>
      <c r="H18" s="4" t="inlineStr">
        <is>
          <t>David</t>
        </is>
      </c>
    </row>
    <row r="19">
      <c r="A19" s="4" t="inlineStr">
        <is>
          <t>ORD-1018</t>
        </is>
      </c>
      <c r="B19" s="9" t="inlineStr">
        <is>
          <t>2026-02-12</t>
        </is>
      </c>
      <c r="C19" s="4" t="inlineStr">
        <is>
          <t>rachel ALLEN</t>
        </is>
      </c>
      <c r="D19" s="4" t="inlineStr">
        <is>
          <t>South</t>
        </is>
      </c>
      <c r="E19" s="4" t="inlineStr">
        <is>
          <t>Home</t>
        </is>
      </c>
      <c r="F19" s="4" t="n">
        <v>4</v>
      </c>
      <c r="G19" s="10" t="n">
        <v>130</v>
      </c>
      <c r="H19" s="4" t="inlineStr">
        <is>
          <t>Bob</t>
        </is>
      </c>
    </row>
    <row r="20">
      <c r="A20" s="4" t="inlineStr">
        <is>
          <t>ORD-1019</t>
        </is>
      </c>
      <c r="B20" s="9" t="inlineStr">
        <is>
          <t>2026-02-15</t>
        </is>
      </c>
      <c r="C20" s="4" t="inlineStr">
        <is>
          <t>brandon YOUNG</t>
        </is>
      </c>
      <c r="D20" s="4" t="inlineStr">
        <is>
          <t>East</t>
        </is>
      </c>
      <c r="E20" s="4" t="inlineStr">
        <is>
          <t>Electronics</t>
        </is>
      </c>
      <c r="F20" s="4" t="n">
        <v>1</v>
      </c>
      <c r="G20" s="10" t="n">
        <v>950</v>
      </c>
      <c r="H20" s="4" t="inlineStr">
        <is>
          <t>Charlie</t>
        </is>
      </c>
    </row>
    <row r="21">
      <c r="A21" s="4" t="inlineStr">
        <is>
          <t>ORD-1020</t>
        </is>
      </c>
      <c r="B21" s="9" t="inlineStr">
        <is>
          <t>2026-02-18</t>
        </is>
      </c>
      <c r="C21" s="4" t="inlineStr">
        <is>
          <t>LAURA KING</t>
        </is>
      </c>
      <c r="D21" s="4" t="inlineStr">
        <is>
          <t>West</t>
        </is>
      </c>
      <c r="E21" s="4" t="inlineStr">
        <is>
          <t>Apparel</t>
        </is>
      </c>
      <c r="F21" s="4" t="n">
        <v>6</v>
      </c>
      <c r="G21" s="10" t="n">
        <v>50</v>
      </c>
      <c r="H21" s="4" t="inlineStr">
        <is>
          <t>David</t>
        </is>
      </c>
    </row>
    <row r="22">
      <c r="A22" s="4" t="inlineStr">
        <is>
          <t>ORD-1021</t>
        </is>
      </c>
      <c r="B22" s="9" t="inlineStr">
        <is>
          <t>2026-02-20</t>
        </is>
      </c>
      <c r="C22" s="4" t="inlineStr">
        <is>
          <t>justin WRIGHT</t>
        </is>
      </c>
      <c r="D22" s="4" t="inlineStr">
        <is>
          <t>North</t>
        </is>
      </c>
      <c r="E22" s="4" t="inlineStr">
        <is>
          <t>Home</t>
        </is>
      </c>
      <c r="F22" s="4" t="n">
        <v>3</v>
      </c>
      <c r="G22" s="10" t="n">
        <v>160</v>
      </c>
      <c r="H22" s="4" t="inlineStr">
        <is>
          <t>Alice</t>
        </is>
      </c>
    </row>
    <row r="23">
      <c r="A23" s="4" t="inlineStr">
        <is>
          <t>ORD-1022</t>
        </is>
      </c>
      <c r="B23" s="9" t="inlineStr">
        <is>
          <t>2026-02-22</t>
        </is>
      </c>
      <c r="C23" s="4" t="inlineStr">
        <is>
          <t>amber SCOTT</t>
        </is>
      </c>
      <c r="D23" s="4" t="inlineStr">
        <is>
          <t>South</t>
        </is>
      </c>
      <c r="E23" s="4" t="inlineStr">
        <is>
          <t>Electronics</t>
        </is>
      </c>
      <c r="F23" s="4" t="n">
        <v>2</v>
      </c>
      <c r="G23" s="10" t="n">
        <v>500</v>
      </c>
      <c r="H23" s="4" t="inlineStr">
        <is>
          <t>Bob</t>
        </is>
      </c>
    </row>
    <row r="24">
      <c r="A24" s="4" t="inlineStr">
        <is>
          <t>ORD-1023</t>
        </is>
      </c>
      <c r="B24" s="9" t="inlineStr">
        <is>
          <t>2026-02-25</t>
        </is>
      </c>
      <c r="C24" s="4" t="inlineStr">
        <is>
          <t>tyler TORRES</t>
        </is>
      </c>
      <c r="D24" s="4" t="inlineStr">
        <is>
          <t>East</t>
        </is>
      </c>
      <c r="E24" s="4" t="inlineStr">
        <is>
          <t>Apparel</t>
        </is>
      </c>
      <c r="F24" s="4" t="n">
        <v>5</v>
      </c>
      <c r="G24" s="10" t="n">
        <v>65</v>
      </c>
      <c r="H24" s="4" t="inlineStr">
        <is>
          <t>Charlie</t>
        </is>
      </c>
    </row>
    <row r="25">
      <c r="A25" s="4" t="inlineStr">
        <is>
          <t>ORD-1024</t>
        </is>
      </c>
      <c r="B25" s="9" t="inlineStr">
        <is>
          <t>2026-02-28</t>
        </is>
      </c>
      <c r="C25" s="4" t="inlineStr">
        <is>
          <t>melissa NG</t>
        </is>
      </c>
      <c r="D25" s="4" t="inlineStr">
        <is>
          <t>West</t>
        </is>
      </c>
      <c r="E25" s="4" t="inlineStr">
        <is>
          <t>Home</t>
        </is>
      </c>
      <c r="F25" s="4" t="n">
        <v>7</v>
      </c>
      <c r="G25" s="10" t="n">
        <v>100</v>
      </c>
      <c r="H25" s="4" t="inlineStr">
        <is>
          <t>David</t>
        </is>
      </c>
    </row>
    <row r="26">
      <c r="A26" s="4" t="inlineStr">
        <is>
          <t>ORD-1025</t>
        </is>
      </c>
      <c r="B26" s="9" t="inlineStr">
        <is>
          <t>2026-03-01</t>
        </is>
      </c>
      <c r="C26" s="4" t="inlineStr">
        <is>
          <t>alexANDER LEE</t>
        </is>
      </c>
      <c r="D26" s="4" t="inlineStr">
        <is>
          <t>North</t>
        </is>
      </c>
      <c r="E26" s="4" t="inlineStr">
        <is>
          <t>Electronics</t>
        </is>
      </c>
      <c r="F26" s="4" t="n">
        <v>4</v>
      </c>
      <c r="G26" s="10" t="n">
        <v>400</v>
      </c>
      <c r="H26" s="4" t="inlineStr">
        <is>
          <t>Alice</t>
        </is>
      </c>
    </row>
    <row r="27">
      <c r="A27" s="4" t="inlineStr">
        <is>
          <t>ORD-1026</t>
        </is>
      </c>
      <c r="B27" s="9" t="inlineStr">
        <is>
          <t>2026-03-03</t>
        </is>
      </c>
      <c r="C27" s="4" t="inlineStr">
        <is>
          <t>nicole ADAMS</t>
        </is>
      </c>
      <c r="D27" s="4" t="inlineStr">
        <is>
          <t>South</t>
        </is>
      </c>
      <c r="E27" s="4" t="inlineStr">
        <is>
          <t>Apparel</t>
        </is>
      </c>
      <c r="F27" s="4" t="n">
        <v>3</v>
      </c>
      <c r="G27" s="10" t="n">
        <v>90</v>
      </c>
      <c r="H27" s="4" t="inlineStr">
        <is>
          <t>Bob</t>
        </is>
      </c>
    </row>
    <row r="28">
      <c r="A28" s="4" t="inlineStr">
        <is>
          <t>ORD-1027</t>
        </is>
      </c>
      <c r="B28" s="9" t="inlineStr">
        <is>
          <t>2026-03-05</t>
        </is>
      </c>
      <c r="C28" s="4" t="inlineStr">
        <is>
          <t>steven BAKER</t>
        </is>
      </c>
      <c r="D28" s="4" t="inlineStr">
        <is>
          <t>East</t>
        </is>
      </c>
      <c r="E28" s="4" t="inlineStr">
        <is>
          <t>Home</t>
        </is>
      </c>
      <c r="F28" s="4" t="n">
        <v>2</v>
      </c>
      <c r="G28" s="10" t="n">
        <v>220</v>
      </c>
      <c r="H28" s="4" t="inlineStr">
        <is>
          <t>Charlie</t>
        </is>
      </c>
    </row>
    <row r="29">
      <c r="A29" s="4" t="inlineStr">
        <is>
          <t>ORD-1028</t>
        </is>
      </c>
      <c r="B29" s="9" t="inlineStr">
        <is>
          <t>2026-03-08</t>
        </is>
      </c>
      <c r="C29" s="4" t="inlineStr">
        <is>
          <t>hannah NELSON</t>
        </is>
      </c>
      <c r="D29" s="4" t="inlineStr">
        <is>
          <t>West</t>
        </is>
      </c>
      <c r="E29" s="4" t="inlineStr">
        <is>
          <t>Electronics</t>
        </is>
      </c>
      <c r="F29" s="4" t="n">
        <v>1</v>
      </c>
      <c r="G29" s="10" t="n">
        <v>1100</v>
      </c>
      <c r="H29" s="4" t="inlineStr">
        <is>
          <t>Alice</t>
        </is>
      </c>
    </row>
    <row r="30">
      <c r="A30" s="4" t="inlineStr">
        <is>
          <t>ORD-1029</t>
        </is>
      </c>
      <c r="B30" s="9" t="inlineStr">
        <is>
          <t>2026-03-10</t>
        </is>
      </c>
      <c r="C30" s="4" t="inlineStr">
        <is>
          <t>eric CARTER</t>
        </is>
      </c>
      <c r="D30" s="4" t="inlineStr">
        <is>
          <t>North</t>
        </is>
      </c>
      <c r="E30" s="4" t="inlineStr">
        <is>
          <t>Apparel</t>
        </is>
      </c>
      <c r="F30" s="4" t="n">
        <v>9</v>
      </c>
      <c r="G30" s="10" t="n">
        <v>45</v>
      </c>
      <c r="H30" s="4" t="inlineStr">
        <is>
          <t>David</t>
        </is>
      </c>
    </row>
    <row r="31">
      <c r="A31" s="4" t="inlineStr">
        <is>
          <t>ORD-1030</t>
        </is>
      </c>
      <c r="B31" s="9" t="inlineStr">
        <is>
          <t>2026-03-12</t>
        </is>
      </c>
      <c r="C31" s="4" t="inlineStr">
        <is>
          <t>stephanie MITCHELL</t>
        </is>
      </c>
      <c r="D31" s="4" t="inlineStr">
        <is>
          <t>South</t>
        </is>
      </c>
      <c r="E31" s="4" t="inlineStr">
        <is>
          <t>Home</t>
        </is>
      </c>
      <c r="F31" s="4" t="n">
        <v>5</v>
      </c>
      <c r="G31" s="10" t="n">
        <v>115</v>
      </c>
      <c r="H31" s="4" t="inlineStr">
        <is>
          <t>Bob</t>
        </is>
      </c>
    </row>
    <row r="32">
      <c r="A32" s="4" t="inlineStr">
        <is>
          <t>ORD-1031</t>
        </is>
      </c>
      <c r="B32" s="9" t="inlineStr">
        <is>
          <t>2026-03-15</t>
        </is>
      </c>
      <c r="C32" s="4" t="inlineStr">
        <is>
          <t>patrick PEREZ</t>
        </is>
      </c>
      <c r="D32" s="4" t="inlineStr">
        <is>
          <t>East</t>
        </is>
      </c>
      <c r="E32" s="4" t="inlineStr">
        <is>
          <t>Electronics</t>
        </is>
      </c>
      <c r="F32" s="4" t="n">
        <v>2</v>
      </c>
      <c r="G32" s="10" t="n">
        <v>480</v>
      </c>
      <c r="H32" s="4" t="inlineStr">
        <is>
          <t>Charlie</t>
        </is>
      </c>
    </row>
    <row r="33">
      <c r="A33" s="4" t="inlineStr">
        <is>
          <t>ORD-1032</t>
        </is>
      </c>
      <c r="B33" s="9" t="inlineStr">
        <is>
          <t>2026-03-18</t>
        </is>
      </c>
      <c r="C33" s="4" t="inlineStr">
        <is>
          <t>samantha ROBERTS</t>
        </is>
      </c>
      <c r="D33" s="4" t="inlineStr">
        <is>
          <t>West</t>
        </is>
      </c>
      <c r="E33" s="4" t="inlineStr">
        <is>
          <t>Apparel</t>
        </is>
      </c>
      <c r="F33" s="4" t="n">
        <v>6</v>
      </c>
      <c r="G33" s="10" t="n">
        <v>55</v>
      </c>
      <c r="H33" s="4" t="inlineStr">
        <is>
          <t>David</t>
        </is>
      </c>
    </row>
    <row r="34">
      <c r="A34" s="4" t="inlineStr">
        <is>
          <t>ORD-1033</t>
        </is>
      </c>
      <c r="B34" s="9" t="inlineStr">
        <is>
          <t>2026-03-20</t>
        </is>
      </c>
      <c r="C34" s="4" t="inlineStr">
        <is>
          <t>nathan TURNER</t>
        </is>
      </c>
      <c r="D34" s="4" t="inlineStr">
        <is>
          <t>North</t>
        </is>
      </c>
      <c r="E34" s="4" t="inlineStr">
        <is>
          <t>Home</t>
        </is>
      </c>
      <c r="F34" s="4" t="n">
        <v>3</v>
      </c>
      <c r="G34" s="10" t="n">
        <v>140</v>
      </c>
      <c r="H34" s="4" t="inlineStr">
        <is>
          <t>Alice</t>
        </is>
      </c>
    </row>
    <row r="35">
      <c r="A35" s="4" t="inlineStr">
        <is>
          <t>ORD-1034</t>
        </is>
      </c>
      <c r="B35" s="9" t="inlineStr">
        <is>
          <t>2026-03-22</t>
        </is>
      </c>
      <c r="C35" s="4" t="inlineStr">
        <is>
          <t>kristen PHILLIPS</t>
        </is>
      </c>
      <c r="D35" s="4" t="inlineStr">
        <is>
          <t>South</t>
        </is>
      </c>
      <c r="E35" s="4" t="inlineStr">
        <is>
          <t>Electronics</t>
        </is>
      </c>
      <c r="F35" s="4" t="n">
        <v>1</v>
      </c>
      <c r="G35" s="10" t="n">
        <v>900</v>
      </c>
      <c r="H35" s="4" t="inlineStr">
        <is>
          <t>Bob</t>
        </is>
      </c>
    </row>
    <row r="36">
      <c r="A36" s="4" t="inlineStr">
        <is>
          <t>ORD-1035</t>
        </is>
      </c>
      <c r="B36" s="9" t="inlineStr">
        <is>
          <t>2026-03-25</t>
        </is>
      </c>
      <c r="C36" s="4" t="inlineStr">
        <is>
          <t>adam CAMPBELL</t>
        </is>
      </c>
      <c r="D36" s="4" t="inlineStr">
        <is>
          <t>East</t>
        </is>
      </c>
      <c r="E36" s="4" t="inlineStr">
        <is>
          <t>Apparel</t>
        </is>
      </c>
      <c r="F36" s="4" t="n">
        <v>4</v>
      </c>
      <c r="G36" s="10" t="n">
        <v>70</v>
      </c>
      <c r="H36" s="4" t="inlineStr">
        <is>
          <t>Charlie</t>
        </is>
      </c>
    </row>
    <row r="37">
      <c r="A37" s="4" t="inlineStr">
        <is>
          <t>ORD-1036</t>
        </is>
      </c>
      <c r="B37" s="9" t="inlineStr">
        <is>
          <t>2026-03-28</t>
        </is>
      </c>
      <c r="C37" s="4" t="inlineStr">
        <is>
          <t>rachel PARKER</t>
        </is>
      </c>
      <c r="D37" s="4" t="inlineStr">
        <is>
          <t>West</t>
        </is>
      </c>
      <c r="E37" s="4" t="inlineStr">
        <is>
          <t>Home</t>
        </is>
      </c>
      <c r="F37" s="4" t="n">
        <v>5</v>
      </c>
      <c r="G37" s="10" t="n">
        <v>125</v>
      </c>
      <c r="H37" s="4" t="inlineStr">
        <is>
          <t>David</t>
        </is>
      </c>
    </row>
    <row r="38">
      <c r="A38" s="4" t="inlineStr">
        <is>
          <t>ORD-1037</t>
        </is>
      </c>
      <c r="B38" s="9" t="inlineStr">
        <is>
          <t>2026-04-01</t>
        </is>
      </c>
      <c r="C38" s="4" t="inlineStr">
        <is>
          <t>jason EVANS</t>
        </is>
      </c>
      <c r="D38" s="4" t="inlineStr">
        <is>
          <t>North</t>
        </is>
      </c>
      <c r="E38" s="4" t="inlineStr">
        <is>
          <t>Electronics</t>
        </is>
      </c>
      <c r="F38" s="4" t="n">
        <v>3</v>
      </c>
      <c r="G38" s="10" t="n">
        <v>550</v>
      </c>
      <c r="H38" s="4" t="inlineStr">
        <is>
          <t>Alice</t>
        </is>
      </c>
    </row>
    <row r="39">
      <c r="A39" s="4" t="inlineStr">
        <is>
          <t>ORD-1038</t>
        </is>
      </c>
      <c r="B39" s="9" t="inlineStr">
        <is>
          <t>2026-04-03</t>
        </is>
      </c>
      <c r="C39" s="4" t="inlineStr">
        <is>
          <t>victoria EDWARDS</t>
        </is>
      </c>
      <c r="D39" s="4" t="inlineStr">
        <is>
          <t>South</t>
        </is>
      </c>
      <c r="E39" s="4" t="inlineStr">
        <is>
          <t>Apparel</t>
        </is>
      </c>
      <c r="F39" s="4" t="n">
        <v>7</v>
      </c>
      <c r="G39" s="10" t="n">
        <v>50</v>
      </c>
      <c r="H39" s="4" t="inlineStr">
        <is>
          <t>Bob</t>
        </is>
      </c>
    </row>
    <row r="40">
      <c r="A40" s="4" t="inlineStr">
        <is>
          <t>ORD-1039</t>
        </is>
      </c>
      <c r="B40" s="9" t="inlineStr">
        <is>
          <t>2026-04-05</t>
        </is>
      </c>
      <c r="C40" s="4" t="inlineStr">
        <is>
          <t>sean COLLINS</t>
        </is>
      </c>
      <c r="D40" s="4" t="inlineStr">
        <is>
          <t>East</t>
        </is>
      </c>
      <c r="E40" s="4" t="inlineStr">
        <is>
          <t>Home</t>
        </is>
      </c>
      <c r="F40" s="4" t="n">
        <v>2</v>
      </c>
      <c r="G40" s="10" t="n">
        <v>180</v>
      </c>
      <c r="H40" s="4" t="inlineStr">
        <is>
          <t>Charlie</t>
        </is>
      </c>
    </row>
    <row r="41">
      <c r="A41" s="4" t="inlineStr">
        <is>
          <t>ORD-1040</t>
        </is>
      </c>
      <c r="B41" s="9" t="inlineStr">
        <is>
          <t>2026-04-08</t>
        </is>
      </c>
      <c r="C41" s="4" t="inlineStr">
        <is>
          <t>katherine STEWART</t>
        </is>
      </c>
      <c r="D41" s="4" t="inlineStr">
        <is>
          <t>West</t>
        </is>
      </c>
      <c r="E41" s="4" t="inlineStr">
        <is>
          <t>Electronics</t>
        </is>
      </c>
      <c r="F41" s="4" t="n">
        <v>1</v>
      </c>
      <c r="G41" s="10" t="n">
        <v>1300</v>
      </c>
      <c r="H41" s="4" t="inlineStr">
        <is>
          <t>Alice</t>
        </is>
      </c>
    </row>
    <row r="42">
      <c r="A42" s="4" t="inlineStr">
        <is>
          <t>ORD-1041</t>
        </is>
      </c>
      <c r="B42" s="9" t="inlineStr">
        <is>
          <t>2026-04-10</t>
        </is>
      </c>
      <c r="C42" s="4" t="inlineStr">
        <is>
          <t>christian SANCHEZ</t>
        </is>
      </c>
      <c r="D42" s="4" t="inlineStr">
        <is>
          <t>North</t>
        </is>
      </c>
      <c r="E42" s="4" t="inlineStr">
        <is>
          <t>Apparel</t>
        </is>
      </c>
      <c r="F42" s="4" t="n">
        <v>5</v>
      </c>
      <c r="G42" s="10" t="n">
        <v>85</v>
      </c>
      <c r="H42" s="4" t="inlineStr">
        <is>
          <t>David</t>
        </is>
      </c>
    </row>
    <row r="43">
      <c r="A43" s="4" t="inlineStr">
        <is>
          <t>ORD-1042</t>
        </is>
      </c>
      <c r="B43" s="9" t="inlineStr">
        <is>
          <t>2026-04-12</t>
        </is>
      </c>
      <c r="C43" s="4" t="inlineStr">
        <is>
          <t>rebecca MORRIS</t>
        </is>
      </c>
      <c r="D43" s="4" t="inlineStr">
        <is>
          <t>South</t>
        </is>
      </c>
      <c r="E43" s="4" t="inlineStr">
        <is>
          <t>Home</t>
        </is>
      </c>
      <c r="F43" s="4" t="n">
        <v>4</v>
      </c>
      <c r="G43" s="10" t="n">
        <v>95</v>
      </c>
      <c r="H43" s="4" t="inlineStr">
        <is>
          <t>Bob</t>
        </is>
      </c>
    </row>
    <row r="44">
      <c r="A44" s="4" t="inlineStr">
        <is>
          <t>ORD-1043</t>
        </is>
      </c>
      <c r="B44" s="9" t="inlineStr">
        <is>
          <t>2026-04-15</t>
        </is>
      </c>
      <c r="C44" s="4" t="inlineStr">
        <is>
          <t>aaron ROGERS</t>
        </is>
      </c>
      <c r="D44" s="4" t="inlineStr">
        <is>
          <t>East</t>
        </is>
      </c>
      <c r="E44" s="4" t="inlineStr">
        <is>
          <t>Electronics</t>
        </is>
      </c>
      <c r="F44" s="4" t="n">
        <v>2</v>
      </c>
      <c r="G44" s="10" t="n">
        <v>420</v>
      </c>
      <c r="H44" s="4" t="inlineStr">
        <is>
          <t>Charlie</t>
        </is>
      </c>
    </row>
    <row r="45">
      <c r="A45" s="4" t="inlineStr">
        <is>
          <t>ORD-1044</t>
        </is>
      </c>
      <c r="B45" s="9" t="inlineStr">
        <is>
          <t>2026-04-18</t>
        </is>
      </c>
      <c r="C45" s="4" t="inlineStr">
        <is>
          <t>danielle REED</t>
        </is>
      </c>
      <c r="D45" s="4" t="inlineStr">
        <is>
          <t>West</t>
        </is>
      </c>
      <c r="E45" s="4" t="inlineStr">
        <is>
          <t>Apparel</t>
        </is>
      </c>
      <c r="F45" s="4" t="n">
        <v>8</v>
      </c>
      <c r="G45" s="10" t="n">
        <v>45</v>
      </c>
      <c r="H45" s="4" t="inlineStr">
        <is>
          <t>David</t>
        </is>
      </c>
    </row>
    <row r="46">
      <c r="A46" s="4" t="inlineStr">
        <is>
          <t>ORD-1045</t>
        </is>
      </c>
      <c r="B46" s="9" t="inlineStr">
        <is>
          <t>2026-04-20</t>
        </is>
      </c>
      <c r="C46" s="4" t="inlineStr">
        <is>
          <t>zachary COOK</t>
        </is>
      </c>
      <c r="D46" s="4" t="inlineStr">
        <is>
          <t>North</t>
        </is>
      </c>
      <c r="E46" s="4" t="inlineStr">
        <is>
          <t>Home</t>
        </is>
      </c>
      <c r="F46" s="4" t="n">
        <v>3</v>
      </c>
      <c r="G46" s="10" t="n">
        <v>160</v>
      </c>
      <c r="H46" s="4" t="inlineStr">
        <is>
          <t>Alice</t>
        </is>
      </c>
    </row>
    <row r="47">
      <c r="A47" s="4" t="inlineStr">
        <is>
          <t>ORD-1046</t>
        </is>
      </c>
      <c r="B47" s="9" t="inlineStr">
        <is>
          <t>2026-04-22</t>
        </is>
      </c>
      <c r="C47" s="4" t="inlineStr">
        <is>
          <t>morgan MORGAN</t>
        </is>
      </c>
      <c r="D47" s="4" t="inlineStr">
        <is>
          <t>South</t>
        </is>
      </c>
      <c r="E47" s="4" t="inlineStr">
        <is>
          <t>Electronics</t>
        </is>
      </c>
      <c r="F47" s="4" t="n">
        <v>1</v>
      </c>
      <c r="G47" s="10" t="n">
        <v>950</v>
      </c>
      <c r="H47" s="4" t="inlineStr">
        <is>
          <t>Bob</t>
        </is>
      </c>
    </row>
    <row r="48">
      <c r="A48" s="4" t="inlineStr">
        <is>
          <t>ORD-1047</t>
        </is>
      </c>
      <c r="B48" s="9" t="inlineStr">
        <is>
          <t>2026-04-25</t>
        </is>
      </c>
      <c r="C48" s="4" t="inlineStr">
        <is>
          <t>jordan BELL</t>
        </is>
      </c>
      <c r="D48" s="4" t="inlineStr">
        <is>
          <t>East</t>
        </is>
      </c>
      <c r="E48" s="4" t="inlineStr">
        <is>
          <t>Apparel</t>
        </is>
      </c>
      <c r="F48" s="4" t="n">
        <v>6</v>
      </c>
      <c r="G48" s="10" t="n">
        <v>60</v>
      </c>
      <c r="H48" s="4" t="inlineStr">
        <is>
          <t>Charlie</t>
        </is>
      </c>
    </row>
    <row r="49">
      <c r="A49" s="4" t="inlineStr">
        <is>
          <t>ORD-1048</t>
        </is>
      </c>
      <c r="B49" s="9" t="inlineStr">
        <is>
          <t>2026-04-28</t>
        </is>
      </c>
      <c r="C49" s="4" t="inlineStr">
        <is>
          <t>brittany MURPHY</t>
        </is>
      </c>
      <c r="D49" s="4" t="inlineStr">
        <is>
          <t>West</t>
        </is>
      </c>
      <c r="E49" s="4" t="inlineStr">
        <is>
          <t>Home</t>
        </is>
      </c>
      <c r="F49" s="4" t="n">
        <v>4</v>
      </c>
      <c r="G49" s="10" t="n">
        <v>150</v>
      </c>
      <c r="H49" s="4" t="inlineStr">
        <is>
          <t>David</t>
        </is>
      </c>
    </row>
    <row r="50">
      <c r="A50" s="4" t="inlineStr">
        <is>
          <t>ORD-1049</t>
        </is>
      </c>
      <c r="B50" s="9" t="inlineStr">
        <is>
          <t>2026-04-30</t>
        </is>
      </c>
      <c r="C50" s="4" t="inlineStr">
        <is>
          <t>logan RIVERA</t>
        </is>
      </c>
      <c r="D50" s="4" t="inlineStr">
        <is>
          <t>North</t>
        </is>
      </c>
      <c r="E50" s="4" t="inlineStr">
        <is>
          <t>Electronics</t>
        </is>
      </c>
      <c r="F50" s="4" t="n">
        <v>2</v>
      </c>
      <c r="G50" s="10" t="n">
        <v>650</v>
      </c>
      <c r="H50" s="4" t="inlineStr">
        <is>
          <t>Alice</t>
        </is>
      </c>
    </row>
    <row r="51">
      <c r="A51" s="4" t="inlineStr">
        <is>
          <t>ORD-1050</t>
        </is>
      </c>
      <c r="B51" s="9" t="inlineStr">
        <is>
          <t>2026-05-02</t>
        </is>
      </c>
      <c r="C51" s="4" t="inlineStr">
        <is>
          <t>KELLY COOPER</t>
        </is>
      </c>
      <c r="D51" s="4" t="inlineStr">
        <is>
          <t>South</t>
        </is>
      </c>
      <c r="E51" s="4" t="inlineStr">
        <is>
          <t>Apparel</t>
        </is>
      </c>
      <c r="F51" s="4" t="n">
        <v>5</v>
      </c>
      <c r="G51" s="10" t="n">
        <v>70</v>
      </c>
      <c r="H51" s="4" t="inlineStr">
        <is>
          <t>Bob</t>
        </is>
      </c>
    </row>
    <row r="52">
      <c r="A52" s="4" t="inlineStr">
        <is>
          <t>ORD-1001</t>
        </is>
      </c>
      <c r="B52" s="9" t="inlineStr">
        <is>
          <t>2026-01-02</t>
        </is>
      </c>
      <c r="C52" s="4" t="inlineStr">
        <is>
          <t>john SMITH</t>
        </is>
      </c>
      <c r="D52" s="4" t="inlineStr">
        <is>
          <t>North</t>
        </is>
      </c>
      <c r="E52" s="4" t="inlineStr">
        <is>
          <t>Electronics</t>
        </is>
      </c>
      <c r="F52" s="4" t="n">
        <v>3</v>
      </c>
      <c r="G52" s="10" t="n">
        <v>450</v>
      </c>
      <c r="H52" s="4" t="inlineStr">
        <is>
          <t>Alice</t>
        </is>
      </c>
    </row>
    <row r="53">
      <c r="A53" s="4" t="inlineStr">
        <is>
          <t>ORD-1005</t>
        </is>
      </c>
      <c r="B53" s="9" t="inlineStr">
        <is>
          <t>2026-01-10</t>
        </is>
      </c>
      <c r="C53" s="4" t="inlineStr">
        <is>
          <t>michael WILSON</t>
        </is>
      </c>
      <c r="D53" s="4" t="inlineStr">
        <is>
          <t>North</t>
        </is>
      </c>
      <c r="E53" s="4" t="inlineStr">
        <is>
          <t>Apparel</t>
        </is>
      </c>
      <c r="F53" s="4" t="n">
        <v>4</v>
      </c>
      <c r="G53" s="10" t="n">
        <v>75</v>
      </c>
      <c r="H53" s="4" t="inlineStr">
        <is>
          <t>David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8" customWidth="1" min="5" max="5"/>
    <col width="10" customWidth="1" min="6" max="6"/>
    <col width="12" customWidth="1" min="7" max="7"/>
    <col width="11" customWidth="1" min="8" max="8"/>
    <col width="21" customWidth="1" min="9" max="9"/>
    <col width="13" customWidth="1" min="10" max="10"/>
    <col width="28" customWidth="1" min="11" max="11"/>
    <col width="28" customWidth="1" min="12" max="12"/>
    <col width="28" customWidth="1" min="13" max="13"/>
    <col width="28" customWidth="1" min="14" max="14"/>
    <col width="22" customWidth="1" min="15" max="15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Customer Name</t>
        </is>
      </c>
      <c r="D1" s="2" t="inlineStr">
        <is>
          <t>Region</t>
        </is>
      </c>
      <c r="E1" s="2" t="inlineStr">
        <is>
          <t>Product Category</t>
        </is>
      </c>
      <c r="F1" s="2" t="inlineStr">
        <is>
          <t>Quantity</t>
        </is>
      </c>
      <c r="G1" s="2" t="inlineStr">
        <is>
          <t>Unit Price</t>
        </is>
      </c>
      <c r="H1" s="2" t="inlineStr">
        <is>
          <t>Sales Rep</t>
        </is>
      </c>
      <c r="I1" s="2" t="inlineStr">
        <is>
          <t>Clean Customer Name</t>
        </is>
      </c>
      <c r="J1" s="2" t="inlineStr">
        <is>
          <t>Total Sales</t>
        </is>
      </c>
      <c r="K1" s="2" t="inlineStr">
        <is>
          <t>Order Size</t>
        </is>
      </c>
      <c r="L1" s="2" t="inlineStr">
        <is>
          <t>Sales Level</t>
        </is>
      </c>
      <c r="M1" s="2" t="inlineStr">
        <is>
          <t>Priority Order</t>
        </is>
      </c>
      <c r="N1" s="2" t="inlineStr">
        <is>
          <t>Special Order</t>
        </is>
      </c>
      <c r="O1" s="2" t="inlineStr">
        <is>
          <t>Price per Unit Check</t>
        </is>
      </c>
    </row>
    <row r="2">
      <c r="A2" s="4" t="inlineStr">
        <is>
          <t>ORD-1001</t>
        </is>
      </c>
      <c r="B2" s="9" t="inlineStr">
        <is>
          <t>2026-01-02</t>
        </is>
      </c>
      <c r="C2" s="4" t="inlineStr">
        <is>
          <t>john SMITH</t>
        </is>
      </c>
      <c r="D2" s="4" t="inlineStr">
        <is>
          <t>North</t>
        </is>
      </c>
      <c r="E2" s="4" t="inlineStr">
        <is>
          <t>Electronics</t>
        </is>
      </c>
      <c r="F2" s="4" t="n">
        <v>3</v>
      </c>
      <c r="G2" s="10" t="n">
        <v>450</v>
      </c>
      <c r="H2" s="4" t="inlineStr">
        <is>
          <t>Alice</t>
        </is>
      </c>
      <c r="I2" s="4">
        <f>PROPER(C2)</f>
        <v/>
      </c>
      <c r="J2" s="10">
        <f>F2*G2</f>
        <v/>
      </c>
      <c r="K2" s="4">
        <f>IF(J2&gt;=1000,"Large","Small")</f>
        <v/>
      </c>
      <c r="L2" s="4">
        <f>IFS(J2&gt;=2000,"Very High",J2&gt;=1000,"High",J2&gt;=500,"Medium",TRUE,"Low")</f>
        <v/>
      </c>
      <c r="M2" s="4">
        <f>IF(AND(J2&gt;=1000,F2&gt;=5),"Priority","Normal")</f>
        <v/>
      </c>
      <c r="N2" s="4">
        <f>IF(OR(F2&gt;=10,J2&gt;=2000),"Special","Normal")</f>
        <v/>
      </c>
      <c r="O2" s="10">
        <f>IFERROR(J2/F2,0)</f>
        <v/>
      </c>
    </row>
    <row r="3">
      <c r="A3" s="4" t="inlineStr">
        <is>
          <t>ORD-1002</t>
        </is>
      </c>
      <c r="B3" s="9" t="inlineStr">
        <is>
          <t>2026-01-04</t>
        </is>
      </c>
      <c r="C3" s="4" t="inlineStr">
        <is>
          <t>MARY JOHNSON</t>
        </is>
      </c>
      <c r="D3" s="4" t="inlineStr">
        <is>
          <t>South</t>
        </is>
      </c>
      <c r="E3" s="4" t="inlineStr">
        <is>
          <t>Apparel</t>
        </is>
      </c>
      <c r="F3" s="4" t="n">
        <v>5</v>
      </c>
      <c r="G3" s="10" t="n">
        <v>60</v>
      </c>
      <c r="H3" s="4" t="inlineStr">
        <is>
          <t>Bob</t>
        </is>
      </c>
      <c r="I3" s="4">
        <f>PROPER(C3)</f>
        <v/>
      </c>
      <c r="J3" s="10">
        <f>F3*G3</f>
        <v/>
      </c>
      <c r="K3" s="4">
        <f>IF(J3&gt;=1000,"Large","Small")</f>
        <v/>
      </c>
      <c r="L3" s="4">
        <f>IFS(J3&gt;=2000,"Very High",J3&gt;=1000,"High",J3&gt;=500,"Medium",TRUE,"Low")</f>
        <v/>
      </c>
      <c r="M3" s="4">
        <f>IF(AND(J3&gt;=1000,F3&gt;=5),"Priority","Normal")</f>
        <v/>
      </c>
      <c r="N3" s="4">
        <f>IF(OR(F3&gt;=10,J3&gt;=2000),"Special","Normal")</f>
        <v/>
      </c>
      <c r="O3" s="10">
        <f>IFERROR(J3/F3,0)</f>
        <v/>
      </c>
    </row>
    <row r="4">
      <c r="A4" s="4" t="inlineStr">
        <is>
          <t>ORD-1003</t>
        </is>
      </c>
      <c r="B4" s="9" t="inlineStr">
        <is>
          <t>2026-01-06</t>
        </is>
      </c>
      <c r="C4" s="4" t="inlineStr">
        <is>
          <t>robert davis</t>
        </is>
      </c>
      <c r="D4" s="4" t="inlineStr">
        <is>
          <t>East</t>
        </is>
      </c>
      <c r="E4" s="4" t="inlineStr">
        <is>
          <t>Home</t>
        </is>
      </c>
      <c r="F4" s="4" t="n">
        <v>2</v>
      </c>
      <c r="G4" s="10" t="n">
        <v>120</v>
      </c>
      <c r="H4" s="4" t="inlineStr">
        <is>
          <t>Charlie</t>
        </is>
      </c>
      <c r="I4" s="4">
        <f>PROPER(C4)</f>
        <v/>
      </c>
      <c r="J4" s="10">
        <f>F4*G4</f>
        <v/>
      </c>
      <c r="K4" s="4">
        <f>IF(J4&gt;=1000,"Large","Small")</f>
        <v/>
      </c>
      <c r="L4" s="4">
        <f>IFS(J4&gt;=2000,"Very High",J4&gt;=1000,"High",J4&gt;=500,"Medium",TRUE,"Low")</f>
        <v/>
      </c>
      <c r="M4" s="4">
        <f>IF(AND(J4&gt;=1000,F4&gt;=5),"Priority","Normal")</f>
        <v/>
      </c>
      <c r="N4" s="4">
        <f>IF(OR(F4&gt;=10,J4&gt;=2000),"Special","Normal")</f>
        <v/>
      </c>
      <c r="O4" s="10">
        <f>IFERROR(J4/F4,0)</f>
        <v/>
      </c>
    </row>
    <row r="5">
      <c r="A5" s="4" t="inlineStr">
        <is>
          <t>ORD-1004</t>
        </is>
      </c>
      <c r="B5" s="9" t="inlineStr">
        <is>
          <t>2026-01-08</t>
        </is>
      </c>
      <c r="C5" s="4" t="inlineStr">
        <is>
          <t>lisa brown</t>
        </is>
      </c>
      <c r="D5" s="4" t="inlineStr">
        <is>
          <t>West</t>
        </is>
      </c>
      <c r="E5" s="4" t="inlineStr">
        <is>
          <t>Electronics</t>
        </is>
      </c>
      <c r="F5" s="4" t="n">
        <v>1</v>
      </c>
      <c r="G5" s="10" t="n">
        <v>850</v>
      </c>
      <c r="H5" s="4" t="inlineStr">
        <is>
          <t>Alice</t>
        </is>
      </c>
      <c r="I5" s="4">
        <f>PROPER(C5)</f>
        <v/>
      </c>
      <c r="J5" s="10">
        <f>F5*G5</f>
        <v/>
      </c>
      <c r="K5" s="4">
        <f>IF(J5&gt;=1000,"Large","Small")</f>
        <v/>
      </c>
      <c r="L5" s="4">
        <f>IFS(J5&gt;=2000,"Very High",J5&gt;=1000,"High",J5&gt;=500,"Medium",TRUE,"Low")</f>
        <v/>
      </c>
      <c r="M5" s="4">
        <f>IF(AND(J5&gt;=1000,F5&gt;=5),"Priority","Normal")</f>
        <v/>
      </c>
      <c r="N5" s="4">
        <f>IF(OR(F5&gt;=10,J5&gt;=2000),"Special","Normal")</f>
        <v/>
      </c>
      <c r="O5" s="10">
        <f>IFERROR(J5/F5,0)</f>
        <v/>
      </c>
    </row>
    <row r="6">
      <c r="A6" s="4" t="inlineStr">
        <is>
          <t>ORD-1005</t>
        </is>
      </c>
      <c r="B6" s="9" t="inlineStr">
        <is>
          <t>2026-01-10</t>
        </is>
      </c>
      <c r="C6" s="4" t="inlineStr">
        <is>
          <t>michael WILSON</t>
        </is>
      </c>
      <c r="D6" s="4" t="inlineStr">
        <is>
          <t>North</t>
        </is>
      </c>
      <c r="E6" s="4" t="inlineStr">
        <is>
          <t>Apparel</t>
        </is>
      </c>
      <c r="F6" s="4" t="n">
        <v>4</v>
      </c>
      <c r="G6" s="10" t="n">
        <v>75</v>
      </c>
      <c r="H6" s="4" t="inlineStr">
        <is>
          <t>David</t>
        </is>
      </c>
      <c r="I6" s="4">
        <f>PROPER(C6)</f>
        <v/>
      </c>
      <c r="J6" s="10">
        <f>F6*G6</f>
        <v/>
      </c>
      <c r="K6" s="4">
        <f>IF(J6&gt;=1000,"Large","Small")</f>
        <v/>
      </c>
      <c r="L6" s="4">
        <f>IFS(J6&gt;=2000,"Very High",J6&gt;=1000,"High",J6&gt;=500,"Medium",TRUE,"Low")</f>
        <v/>
      </c>
      <c r="M6" s="4">
        <f>IF(AND(J6&gt;=1000,F6&gt;=5),"Priority","Normal")</f>
        <v/>
      </c>
      <c r="N6" s="4">
        <f>IF(OR(F6&gt;=10,J6&gt;=2000),"Special","Normal")</f>
        <v/>
      </c>
      <c r="O6" s="10">
        <f>IFERROR(J6/F6,0)</f>
        <v/>
      </c>
    </row>
    <row r="7">
      <c r="A7" s="4" t="inlineStr">
        <is>
          <t>ORD-1006</t>
        </is>
      </c>
      <c r="B7" s="9" t="inlineStr">
        <is>
          <t>2026-01-12</t>
        </is>
      </c>
      <c r="C7" s="4" t="inlineStr">
        <is>
          <t>sarah miller</t>
        </is>
      </c>
      <c r="D7" s="4" t="inlineStr">
        <is>
          <t>South</t>
        </is>
      </c>
      <c r="E7" s="4" t="inlineStr">
        <is>
          <t>Home</t>
        </is>
      </c>
      <c r="F7" s="4" t="n">
        <v>6</v>
      </c>
      <c r="G7" s="10" t="n">
        <v>90</v>
      </c>
      <c r="H7" s="4" t="inlineStr">
        <is>
          <t>Bob</t>
        </is>
      </c>
      <c r="I7" s="4">
        <f>PROPER(C7)</f>
        <v/>
      </c>
      <c r="J7" s="10">
        <f>F7*G7</f>
        <v/>
      </c>
      <c r="K7" s="4">
        <f>IF(J7&gt;=1000,"Large","Small")</f>
        <v/>
      </c>
      <c r="L7" s="4">
        <f>IFS(J7&gt;=2000,"Very High",J7&gt;=1000,"High",J7&gt;=500,"Medium",TRUE,"Low")</f>
        <v/>
      </c>
      <c r="M7" s="4">
        <f>IF(AND(J7&gt;=1000,F7&gt;=5),"Priority","Normal")</f>
        <v/>
      </c>
      <c r="N7" s="4">
        <f>IF(OR(F7&gt;=10,J7&gt;=2000),"Special","Normal")</f>
        <v/>
      </c>
      <c r="O7" s="10">
        <f>IFERROR(J7/F7,0)</f>
        <v/>
      </c>
    </row>
    <row r="8">
      <c r="A8" s="4" t="inlineStr">
        <is>
          <t>ORD-1007</t>
        </is>
      </c>
      <c r="B8" s="9" t="inlineStr">
        <is>
          <t>2026-01-15</t>
        </is>
      </c>
      <c r="C8" s="4" t="inlineStr">
        <is>
          <t>david TAYLOR</t>
        </is>
      </c>
      <c r="D8" s="4" t="inlineStr">
        <is>
          <t>East</t>
        </is>
      </c>
      <c r="E8" s="4" t="inlineStr">
        <is>
          <t>Electronics</t>
        </is>
      </c>
      <c r="F8" s="4" t="n">
        <v>2</v>
      </c>
      <c r="G8" s="10" t="n">
        <v>450</v>
      </c>
      <c r="H8" s="4" t="inlineStr">
        <is>
          <t>Charlie</t>
        </is>
      </c>
      <c r="I8" s="4">
        <f>PROPER(C8)</f>
        <v/>
      </c>
      <c r="J8" s="10">
        <f>F8*G8</f>
        <v/>
      </c>
      <c r="K8" s="4">
        <f>IF(J8&gt;=1000,"Large","Small")</f>
        <v/>
      </c>
      <c r="L8" s="4">
        <f>IFS(J8&gt;=2000,"Very High",J8&gt;=1000,"High",J8&gt;=500,"Medium",TRUE,"Low")</f>
        <v/>
      </c>
      <c r="M8" s="4">
        <f>IF(AND(J8&gt;=1000,F8&gt;=5),"Priority","Normal")</f>
        <v/>
      </c>
      <c r="N8" s="4">
        <f>IF(OR(F8&gt;=10,J8&gt;=2000),"Special","Normal")</f>
        <v/>
      </c>
      <c r="O8" s="10">
        <f>IFERROR(J8/F8,0)</f>
        <v/>
      </c>
    </row>
    <row r="9">
      <c r="A9" s="4" t="inlineStr">
        <is>
          <t>ORD-1008</t>
        </is>
      </c>
      <c r="B9" s="9" t="inlineStr">
        <is>
          <t>2026-01-18</t>
        </is>
      </c>
      <c r="C9" s="4" t="inlineStr">
        <is>
          <t>emily ANDERSON</t>
        </is>
      </c>
      <c r="D9" s="4" t="inlineStr">
        <is>
          <t>West</t>
        </is>
      </c>
      <c r="E9" s="4" t="inlineStr">
        <is>
          <t>Apparel</t>
        </is>
      </c>
      <c r="F9" s="4" t="n">
        <v>10</v>
      </c>
      <c r="G9" s="10" t="n">
        <v>40</v>
      </c>
      <c r="H9" s="4" t="inlineStr">
        <is>
          <t>David</t>
        </is>
      </c>
      <c r="I9" s="4">
        <f>PROPER(C9)</f>
        <v/>
      </c>
      <c r="J9" s="10">
        <f>F9*G9</f>
        <v/>
      </c>
      <c r="K9" s="4">
        <f>IF(J9&gt;=1000,"Large","Small")</f>
        <v/>
      </c>
      <c r="L9" s="4">
        <f>IFS(J9&gt;=2000,"Very High",J9&gt;=1000,"High",J9&gt;=500,"Medium",TRUE,"Low")</f>
        <v/>
      </c>
      <c r="M9" s="4">
        <f>IF(AND(J9&gt;=1000,F9&gt;=5),"Priority","Normal")</f>
        <v/>
      </c>
      <c r="N9" s="4">
        <f>IF(OR(F9&gt;=10,J9&gt;=2000),"Special","Normal")</f>
        <v/>
      </c>
      <c r="O9" s="10">
        <f>IFERROR(J9/F9,0)</f>
        <v/>
      </c>
    </row>
    <row r="10">
      <c r="A10" s="4" t="inlineStr">
        <is>
          <t>ORD-1009</t>
        </is>
      </c>
      <c r="B10" s="9" t="inlineStr">
        <is>
          <t>2026-01-20</t>
        </is>
      </c>
      <c r="C10" s="4" t="inlineStr">
        <is>
          <t>james THOMAS</t>
        </is>
      </c>
      <c r="D10" s="4" t="inlineStr">
        <is>
          <t>North</t>
        </is>
      </c>
      <c r="E10" s="4" t="inlineStr">
        <is>
          <t>Home</t>
        </is>
      </c>
      <c r="F10" s="4" t="n">
        <v>3</v>
      </c>
      <c r="G10" s="10" t="n">
        <v>150</v>
      </c>
      <c r="H10" s="4" t="inlineStr">
        <is>
          <t>Alice</t>
        </is>
      </c>
      <c r="I10" s="4">
        <f>PROPER(C10)</f>
        <v/>
      </c>
      <c r="J10" s="10">
        <f>F10*G10</f>
        <v/>
      </c>
      <c r="K10" s="4">
        <f>IF(J10&gt;=1000,"Large","Small")</f>
        <v/>
      </c>
      <c r="L10" s="4">
        <f>IFS(J10&gt;=2000,"Very High",J10&gt;=1000,"High",J10&gt;=500,"Medium",TRUE,"Low")</f>
        <v/>
      </c>
      <c r="M10" s="4">
        <f>IF(AND(J10&gt;=1000,F10&gt;=5),"Priority","Normal")</f>
        <v/>
      </c>
      <c r="N10" s="4">
        <f>IF(OR(F10&gt;=10,J10&gt;=2000),"Special","Normal")</f>
        <v/>
      </c>
      <c r="O10" s="10">
        <f>IFERROR(J10/F10,0)</f>
        <v/>
      </c>
    </row>
    <row r="11">
      <c r="A11" s="4" t="inlineStr">
        <is>
          <t>ORD-1010</t>
        </is>
      </c>
      <c r="B11" s="9" t="inlineStr">
        <is>
          <t>2026-01-22</t>
        </is>
      </c>
      <c r="C11" s="4" t="inlineStr">
        <is>
          <t>jessica JACKSON</t>
        </is>
      </c>
      <c r="D11" s="4" t="inlineStr">
        <is>
          <t>South</t>
        </is>
      </c>
      <c r="E11" s="4" t="inlineStr">
        <is>
          <t>Electronics</t>
        </is>
      </c>
      <c r="F11" s="4" t="n">
        <v>1</v>
      </c>
      <c r="G11" s="10" t="n">
        <v>1200</v>
      </c>
      <c r="H11" s="4" t="inlineStr">
        <is>
          <t>Bob</t>
        </is>
      </c>
      <c r="I11" s="4">
        <f>PROPER(C11)</f>
        <v/>
      </c>
      <c r="J11" s="10">
        <f>F11*G11</f>
        <v/>
      </c>
      <c r="K11" s="4">
        <f>IF(J11&gt;=1000,"Large","Small")</f>
        <v/>
      </c>
      <c r="L11" s="4">
        <f>IFS(J11&gt;=2000,"Very High",J11&gt;=1000,"High",J11&gt;=500,"Medium",TRUE,"Low")</f>
        <v/>
      </c>
      <c r="M11" s="4">
        <f>IF(AND(J11&gt;=1000,F11&gt;=5),"Priority","Normal")</f>
        <v/>
      </c>
      <c r="N11" s="4">
        <f>IF(OR(F11&gt;=10,J11&gt;=2000),"Special","Normal")</f>
        <v/>
      </c>
      <c r="O11" s="10">
        <f>IFERROR(J11/F11,0)</f>
        <v/>
      </c>
    </row>
    <row r="12">
      <c r="A12" s="4" t="inlineStr">
        <is>
          <t>ORD-1011</t>
        </is>
      </c>
      <c r="B12" s="9" t="inlineStr">
        <is>
          <t>2026-01-25</t>
        </is>
      </c>
      <c r="C12" s="4" t="inlineStr">
        <is>
          <t>daniel WHITE</t>
        </is>
      </c>
      <c r="D12" s="4" t="inlineStr">
        <is>
          <t>East</t>
        </is>
      </c>
      <c r="E12" s="4" t="inlineStr">
        <is>
          <t>Apparel</t>
        </is>
      </c>
      <c r="F12" s="4" t="n">
        <v>7</v>
      </c>
      <c r="G12" s="10" t="n">
        <v>55</v>
      </c>
      <c r="H12" s="4" t="inlineStr">
        <is>
          <t>Charlie</t>
        </is>
      </c>
      <c r="I12" s="4">
        <f>PROPER(C12)</f>
        <v/>
      </c>
      <c r="J12" s="10">
        <f>F12*G12</f>
        <v/>
      </c>
      <c r="K12" s="4">
        <f>IF(J12&gt;=1000,"Large","Small")</f>
        <v/>
      </c>
      <c r="L12" s="4">
        <f>IFS(J12&gt;=2000,"Very High",J12&gt;=1000,"High",J12&gt;=500,"Medium",TRUE,"Low")</f>
        <v/>
      </c>
      <c r="M12" s="4">
        <f>IF(AND(J12&gt;=1000,F12&gt;=5),"Priority","Normal")</f>
        <v/>
      </c>
      <c r="N12" s="4">
        <f>IF(OR(F12&gt;=10,J12&gt;=2000),"Special","Normal")</f>
        <v/>
      </c>
      <c r="O12" s="10">
        <f>IFERROR(J12/F12,0)</f>
        <v/>
      </c>
    </row>
    <row r="13">
      <c r="A13" s="4" t="inlineStr">
        <is>
          <t>ORD-1012</t>
        </is>
      </c>
      <c r="B13" s="9" t="inlineStr">
        <is>
          <t>2026-01-28</t>
        </is>
      </c>
      <c r="C13" s="4" t="inlineStr">
        <is>
          <t>ashley HARRIS</t>
        </is>
      </c>
      <c r="D13" s="4" t="inlineStr">
        <is>
          <t>West</t>
        </is>
      </c>
      <c r="E13" s="4" t="inlineStr">
        <is>
          <t>Home</t>
        </is>
      </c>
      <c r="F13" s="4" t="n">
        <v>4</v>
      </c>
      <c r="G13" s="10" t="n">
        <v>200</v>
      </c>
      <c r="H13" s="4" t="inlineStr">
        <is>
          <t>David</t>
        </is>
      </c>
      <c r="I13" s="4">
        <f>PROPER(C13)</f>
        <v/>
      </c>
      <c r="J13" s="10">
        <f>F13*G13</f>
        <v/>
      </c>
      <c r="K13" s="4">
        <f>IF(J13&gt;=1000,"Large","Small")</f>
        <v/>
      </c>
      <c r="L13" s="4">
        <f>IFS(J13&gt;=2000,"Very High",J13&gt;=1000,"High",J13&gt;=500,"Medium",TRUE,"Low")</f>
        <v/>
      </c>
      <c r="M13" s="4">
        <f>IF(AND(J13&gt;=1000,F13&gt;=5),"Priority","Normal")</f>
        <v/>
      </c>
      <c r="N13" s="4">
        <f>IF(OR(F13&gt;=10,J13&gt;=2000),"Special","Normal")</f>
        <v/>
      </c>
      <c r="O13" s="10">
        <f>IFERROR(J13/F13,0)</f>
        <v/>
      </c>
    </row>
    <row r="14">
      <c r="A14" s="4" t="inlineStr">
        <is>
          <t>ORD-1013</t>
        </is>
      </c>
      <c r="B14" s="9" t="inlineStr">
        <is>
          <t>2026-02-01</t>
        </is>
      </c>
      <c r="C14" s="4" t="inlineStr">
        <is>
          <t>brian MARTIN</t>
        </is>
      </c>
      <c r="D14" s="4" t="inlineStr">
        <is>
          <t>North</t>
        </is>
      </c>
      <c r="E14" s="4" t="inlineStr">
        <is>
          <t>Electronics</t>
        </is>
      </c>
      <c r="F14" s="4" t="n">
        <v>2</v>
      </c>
      <c r="G14" s="10" t="n">
        <v>600</v>
      </c>
      <c r="H14" s="4" t="inlineStr">
        <is>
          <t>Alice</t>
        </is>
      </c>
      <c r="I14" s="4">
        <f>PROPER(C14)</f>
        <v/>
      </c>
      <c r="J14" s="10">
        <f>F14*G14</f>
        <v/>
      </c>
      <c r="K14" s="4">
        <f>IF(J14&gt;=1000,"Large","Small")</f>
        <v/>
      </c>
      <c r="L14" s="4">
        <f>IFS(J14&gt;=2000,"Very High",J14&gt;=1000,"High",J14&gt;=500,"Medium",TRUE,"Low")</f>
        <v/>
      </c>
      <c r="M14" s="4">
        <f>IF(AND(J14&gt;=1000,F14&gt;=5),"Priority","Normal")</f>
        <v/>
      </c>
      <c r="N14" s="4">
        <f>IF(OR(F14&gt;=10,J14&gt;=2000),"Special","Normal")</f>
        <v/>
      </c>
      <c r="O14" s="10">
        <f>IFERROR(J14/F14,0)</f>
        <v/>
      </c>
    </row>
    <row r="15">
      <c r="A15" s="4" t="inlineStr">
        <is>
          <t>ORD-1014</t>
        </is>
      </c>
      <c r="B15" s="9" t="inlineStr">
        <is>
          <t>2026-02-03</t>
        </is>
      </c>
      <c r="C15" s="4" t="inlineStr">
        <is>
          <t>amanda CLARK</t>
        </is>
      </c>
      <c r="D15" s="4" t="inlineStr">
        <is>
          <t>South</t>
        </is>
      </c>
      <c r="E15" s="4" t="inlineStr">
        <is>
          <t>Apparel</t>
        </is>
      </c>
      <c r="F15" s="4" t="n">
        <v>8</v>
      </c>
      <c r="G15" s="10" t="n">
        <v>45</v>
      </c>
      <c r="H15" s="4" t="inlineStr">
        <is>
          <t>Bob</t>
        </is>
      </c>
      <c r="I15" s="4">
        <f>PROPER(C15)</f>
        <v/>
      </c>
      <c r="J15" s="10">
        <f>F15*G15</f>
        <v/>
      </c>
      <c r="K15" s="4">
        <f>IF(J15&gt;=1000,"Large","Small")</f>
        <v/>
      </c>
      <c r="L15" s="4">
        <f>IFS(J15&gt;=2000,"Very High",J15&gt;=1000,"High",J15&gt;=500,"Medium",TRUE,"Low")</f>
        <v/>
      </c>
      <c r="M15" s="4">
        <f>IF(AND(J15&gt;=1000,F15&gt;=5),"Priority","Normal")</f>
        <v/>
      </c>
      <c r="N15" s="4">
        <f>IF(OR(F15&gt;=10,J15&gt;=2000),"Special","Normal")</f>
        <v/>
      </c>
      <c r="O15" s="10">
        <f>IFERROR(J15/F15,0)</f>
        <v/>
      </c>
    </row>
    <row r="16">
      <c r="A16" s="4" t="inlineStr">
        <is>
          <t>ORD-1015</t>
        </is>
      </c>
      <c r="B16" s="9" t="inlineStr">
        <is>
          <t>2026-02-05</t>
        </is>
      </c>
      <c r="C16" s="4" t="inlineStr">
        <is>
          <t>joshua LEWIS</t>
        </is>
      </c>
      <c r="D16" s="4" t="inlineStr">
        <is>
          <t>East</t>
        </is>
      </c>
      <c r="E16" s="4" t="inlineStr">
        <is>
          <t>Home</t>
        </is>
      </c>
      <c r="F16" s="4" t="n">
        <v>5</v>
      </c>
      <c r="G16" s="10" t="n">
        <v>110</v>
      </c>
      <c r="H16" s="4" t="inlineStr">
        <is>
          <t>Charlie</t>
        </is>
      </c>
      <c r="I16" s="4">
        <f>PROPER(C16)</f>
        <v/>
      </c>
      <c r="J16" s="10">
        <f>F16*G16</f>
        <v/>
      </c>
      <c r="K16" s="4">
        <f>IF(J16&gt;=1000,"Large","Small")</f>
        <v/>
      </c>
      <c r="L16" s="4">
        <f>IFS(J16&gt;=2000,"Very High",J16&gt;=1000,"High",J16&gt;=500,"Medium",TRUE,"Low")</f>
        <v/>
      </c>
      <c r="M16" s="4">
        <f>IF(AND(J16&gt;=1000,F16&gt;=5),"Priority","Normal")</f>
        <v/>
      </c>
      <c r="N16" s="4">
        <f>IF(OR(F16&gt;=10,J16&gt;=2000),"Special","Normal")</f>
        <v/>
      </c>
      <c r="O16" s="10">
        <f>IFERROR(J16/F16,0)</f>
        <v/>
      </c>
    </row>
    <row r="17">
      <c r="A17" s="4" t="inlineStr">
        <is>
          <t>ORD-1016</t>
        </is>
      </c>
      <c r="B17" s="9" t="inlineStr">
        <is>
          <t>2026-02-08</t>
        </is>
      </c>
      <c r="C17" s="4" t="inlineStr">
        <is>
          <t>MEGAN WALKER</t>
        </is>
      </c>
      <c r="D17" s="4" t="inlineStr">
        <is>
          <t>West</t>
        </is>
      </c>
      <c r="E17" s="4" t="inlineStr">
        <is>
          <t>Electronics</t>
        </is>
      </c>
      <c r="F17" s="4" t="n">
        <v>3</v>
      </c>
      <c r="G17" s="10" t="n">
        <v>700</v>
      </c>
      <c r="H17" s="4" t="inlineStr">
        <is>
          <t>Alice</t>
        </is>
      </c>
      <c r="I17" s="4">
        <f>PROPER(C17)</f>
        <v/>
      </c>
      <c r="J17" s="10">
        <f>F17*G17</f>
        <v/>
      </c>
      <c r="K17" s="4">
        <f>IF(J17&gt;=1000,"Large","Small")</f>
        <v/>
      </c>
      <c r="L17" s="4">
        <f>IFS(J17&gt;=2000,"Very High",J17&gt;=1000,"High",J17&gt;=500,"Medium",TRUE,"Low")</f>
        <v/>
      </c>
      <c r="M17" s="4">
        <f>IF(AND(J17&gt;=1000,F17&gt;=5),"Priority","Normal")</f>
        <v/>
      </c>
      <c r="N17" s="4">
        <f>IF(OR(F17&gt;=10,J17&gt;=2000),"Special","Normal")</f>
        <v/>
      </c>
      <c r="O17" s="10">
        <f>IFERROR(J17/F17,0)</f>
        <v/>
      </c>
    </row>
    <row r="18">
      <c r="A18" s="4" t="inlineStr">
        <is>
          <t>ORD-1017</t>
        </is>
      </c>
      <c r="B18" s="9" t="inlineStr">
        <is>
          <t>2026-02-10</t>
        </is>
      </c>
      <c r="C18" s="4" t="inlineStr">
        <is>
          <t>kevin HALL</t>
        </is>
      </c>
      <c r="D18" s="4" t="inlineStr">
        <is>
          <t>North</t>
        </is>
      </c>
      <c r="E18" s="4" t="inlineStr">
        <is>
          <t>Apparel</t>
        </is>
      </c>
      <c r="F18" s="4" t="n">
        <v>2</v>
      </c>
      <c r="G18" s="10" t="n">
        <v>80</v>
      </c>
      <c r="H18" s="4" t="inlineStr">
        <is>
          <t>David</t>
        </is>
      </c>
      <c r="I18" s="4">
        <f>PROPER(C18)</f>
        <v/>
      </c>
      <c r="J18" s="10">
        <f>F18*G18</f>
        <v/>
      </c>
      <c r="K18" s="4">
        <f>IF(J18&gt;=1000,"Large","Small")</f>
        <v/>
      </c>
      <c r="L18" s="4">
        <f>IFS(J18&gt;=2000,"Very High",J18&gt;=1000,"High",J18&gt;=500,"Medium",TRUE,"Low")</f>
        <v/>
      </c>
      <c r="M18" s="4">
        <f>IF(AND(J18&gt;=1000,F18&gt;=5),"Priority","Normal")</f>
        <v/>
      </c>
      <c r="N18" s="4">
        <f>IF(OR(F18&gt;=10,J18&gt;=2000),"Special","Normal")</f>
        <v/>
      </c>
      <c r="O18" s="10">
        <f>IFERROR(J18/F18,0)</f>
        <v/>
      </c>
    </row>
    <row r="19">
      <c r="A19" s="4" t="inlineStr">
        <is>
          <t>ORD-1018</t>
        </is>
      </c>
      <c r="B19" s="9" t="inlineStr">
        <is>
          <t>2026-02-12</t>
        </is>
      </c>
      <c r="C19" s="4" t="inlineStr">
        <is>
          <t>rachel ALLEN</t>
        </is>
      </c>
      <c r="D19" s="4" t="inlineStr">
        <is>
          <t>South</t>
        </is>
      </c>
      <c r="E19" s="4" t="inlineStr">
        <is>
          <t>Home</t>
        </is>
      </c>
      <c r="F19" s="4" t="n">
        <v>4</v>
      </c>
      <c r="G19" s="10" t="n">
        <v>130</v>
      </c>
      <c r="H19" s="4" t="inlineStr">
        <is>
          <t>Bob</t>
        </is>
      </c>
      <c r="I19" s="4">
        <f>PROPER(C19)</f>
        <v/>
      </c>
      <c r="J19" s="10">
        <f>F19*G19</f>
        <v/>
      </c>
      <c r="K19" s="4">
        <f>IF(J19&gt;=1000,"Large","Small")</f>
        <v/>
      </c>
      <c r="L19" s="4">
        <f>IFS(J19&gt;=2000,"Very High",J19&gt;=1000,"High",J19&gt;=500,"Medium",TRUE,"Low")</f>
        <v/>
      </c>
      <c r="M19" s="4">
        <f>IF(AND(J19&gt;=1000,F19&gt;=5),"Priority","Normal")</f>
        <v/>
      </c>
      <c r="N19" s="4">
        <f>IF(OR(F19&gt;=10,J19&gt;=2000),"Special","Normal")</f>
        <v/>
      </c>
      <c r="O19" s="10">
        <f>IFERROR(J19/F19,0)</f>
        <v/>
      </c>
    </row>
    <row r="20">
      <c r="A20" s="4" t="inlineStr">
        <is>
          <t>ORD-1019</t>
        </is>
      </c>
      <c r="B20" s="9" t="inlineStr">
        <is>
          <t>2026-02-15</t>
        </is>
      </c>
      <c r="C20" s="4" t="inlineStr">
        <is>
          <t>brandon YOUNG</t>
        </is>
      </c>
      <c r="D20" s="4" t="inlineStr">
        <is>
          <t>East</t>
        </is>
      </c>
      <c r="E20" s="4" t="inlineStr">
        <is>
          <t>Electronics</t>
        </is>
      </c>
      <c r="F20" s="4" t="n">
        <v>1</v>
      </c>
      <c r="G20" s="10" t="n">
        <v>950</v>
      </c>
      <c r="H20" s="4" t="inlineStr">
        <is>
          <t>Charlie</t>
        </is>
      </c>
      <c r="I20" s="4">
        <f>PROPER(C20)</f>
        <v/>
      </c>
      <c r="J20" s="10">
        <f>F20*G20</f>
        <v/>
      </c>
      <c r="K20" s="4">
        <f>IF(J20&gt;=1000,"Large","Small")</f>
        <v/>
      </c>
      <c r="L20" s="4">
        <f>IFS(J20&gt;=2000,"Very High",J20&gt;=1000,"High",J20&gt;=500,"Medium",TRUE,"Low")</f>
        <v/>
      </c>
      <c r="M20" s="4">
        <f>IF(AND(J20&gt;=1000,F20&gt;=5),"Priority","Normal")</f>
        <v/>
      </c>
      <c r="N20" s="4">
        <f>IF(OR(F20&gt;=10,J20&gt;=2000),"Special","Normal")</f>
        <v/>
      </c>
      <c r="O20" s="10">
        <f>IFERROR(J20/F20,0)</f>
        <v/>
      </c>
    </row>
    <row r="21">
      <c r="A21" s="4" t="inlineStr">
        <is>
          <t>ORD-1020</t>
        </is>
      </c>
      <c r="B21" s="9" t="inlineStr">
        <is>
          <t>2026-02-18</t>
        </is>
      </c>
      <c r="C21" s="4" t="inlineStr">
        <is>
          <t>LAURA KING</t>
        </is>
      </c>
      <c r="D21" s="4" t="inlineStr">
        <is>
          <t>West</t>
        </is>
      </c>
      <c r="E21" s="4" t="inlineStr">
        <is>
          <t>Apparel</t>
        </is>
      </c>
      <c r="F21" s="4" t="n">
        <v>6</v>
      </c>
      <c r="G21" s="10" t="n">
        <v>50</v>
      </c>
      <c r="H21" s="4" t="inlineStr">
        <is>
          <t>David</t>
        </is>
      </c>
      <c r="I21" s="4">
        <f>PROPER(C21)</f>
        <v/>
      </c>
      <c r="J21" s="10">
        <f>F21*G21</f>
        <v/>
      </c>
      <c r="K21" s="4">
        <f>IF(J21&gt;=1000,"Large","Small")</f>
        <v/>
      </c>
      <c r="L21" s="4">
        <f>IFS(J21&gt;=2000,"Very High",J21&gt;=1000,"High",J21&gt;=500,"Medium",TRUE,"Low")</f>
        <v/>
      </c>
      <c r="M21" s="4">
        <f>IF(AND(J21&gt;=1000,F21&gt;=5),"Priority","Normal")</f>
        <v/>
      </c>
      <c r="N21" s="4">
        <f>IF(OR(F21&gt;=10,J21&gt;=2000),"Special","Normal")</f>
        <v/>
      </c>
      <c r="O21" s="10">
        <f>IFERROR(J21/F21,0)</f>
        <v/>
      </c>
    </row>
    <row r="22">
      <c r="A22" s="4" t="inlineStr">
        <is>
          <t>ORD-1021</t>
        </is>
      </c>
      <c r="B22" s="9" t="inlineStr">
        <is>
          <t>2026-02-20</t>
        </is>
      </c>
      <c r="C22" s="4" t="inlineStr">
        <is>
          <t>justin WRIGHT</t>
        </is>
      </c>
      <c r="D22" s="4" t="inlineStr">
        <is>
          <t>North</t>
        </is>
      </c>
      <c r="E22" s="4" t="inlineStr">
        <is>
          <t>Home</t>
        </is>
      </c>
      <c r="F22" s="4" t="n">
        <v>3</v>
      </c>
      <c r="G22" s="10" t="n">
        <v>160</v>
      </c>
      <c r="H22" s="4" t="inlineStr">
        <is>
          <t>Alice</t>
        </is>
      </c>
      <c r="I22" s="4">
        <f>PROPER(C22)</f>
        <v/>
      </c>
      <c r="J22" s="10">
        <f>F22*G22</f>
        <v/>
      </c>
      <c r="K22" s="4">
        <f>IF(J22&gt;=1000,"Large","Small")</f>
        <v/>
      </c>
      <c r="L22" s="4">
        <f>IFS(J22&gt;=2000,"Very High",J22&gt;=1000,"High",J22&gt;=500,"Medium",TRUE,"Low")</f>
        <v/>
      </c>
      <c r="M22" s="4">
        <f>IF(AND(J22&gt;=1000,F22&gt;=5),"Priority","Normal")</f>
        <v/>
      </c>
      <c r="N22" s="4">
        <f>IF(OR(F22&gt;=10,J22&gt;=2000),"Special","Normal")</f>
        <v/>
      </c>
      <c r="O22" s="10">
        <f>IFERROR(J22/F22,0)</f>
        <v/>
      </c>
    </row>
    <row r="23">
      <c r="A23" s="4" t="inlineStr">
        <is>
          <t>ORD-1022</t>
        </is>
      </c>
      <c r="B23" s="9" t="inlineStr">
        <is>
          <t>2026-02-22</t>
        </is>
      </c>
      <c r="C23" s="4" t="inlineStr">
        <is>
          <t>amber SCOTT</t>
        </is>
      </c>
      <c r="D23" s="4" t="inlineStr">
        <is>
          <t>South</t>
        </is>
      </c>
      <c r="E23" s="4" t="inlineStr">
        <is>
          <t>Electronics</t>
        </is>
      </c>
      <c r="F23" s="4" t="n">
        <v>2</v>
      </c>
      <c r="G23" s="10" t="n">
        <v>500</v>
      </c>
      <c r="H23" s="4" t="inlineStr">
        <is>
          <t>Bob</t>
        </is>
      </c>
      <c r="I23" s="4">
        <f>PROPER(C23)</f>
        <v/>
      </c>
      <c r="J23" s="10">
        <f>F23*G23</f>
        <v/>
      </c>
      <c r="K23" s="4">
        <f>IF(J23&gt;=1000,"Large","Small")</f>
        <v/>
      </c>
      <c r="L23" s="4">
        <f>IFS(J23&gt;=2000,"Very High",J23&gt;=1000,"High",J23&gt;=500,"Medium",TRUE,"Low")</f>
        <v/>
      </c>
      <c r="M23" s="4">
        <f>IF(AND(J23&gt;=1000,F23&gt;=5),"Priority","Normal")</f>
        <v/>
      </c>
      <c r="N23" s="4">
        <f>IF(OR(F23&gt;=10,J23&gt;=2000),"Special","Normal")</f>
        <v/>
      </c>
      <c r="O23" s="10">
        <f>IFERROR(J23/F23,0)</f>
        <v/>
      </c>
    </row>
    <row r="24">
      <c r="A24" s="4" t="inlineStr">
        <is>
          <t>ORD-1023</t>
        </is>
      </c>
      <c r="B24" s="9" t="inlineStr">
        <is>
          <t>2026-02-25</t>
        </is>
      </c>
      <c r="C24" s="4" t="inlineStr">
        <is>
          <t>tyler TORRES</t>
        </is>
      </c>
      <c r="D24" s="4" t="inlineStr">
        <is>
          <t>East</t>
        </is>
      </c>
      <c r="E24" s="4" t="inlineStr">
        <is>
          <t>Apparel</t>
        </is>
      </c>
      <c r="F24" s="4" t="n">
        <v>5</v>
      </c>
      <c r="G24" s="10" t="n">
        <v>65</v>
      </c>
      <c r="H24" s="4" t="inlineStr">
        <is>
          <t>Charlie</t>
        </is>
      </c>
      <c r="I24" s="4">
        <f>PROPER(C24)</f>
        <v/>
      </c>
      <c r="J24" s="10">
        <f>F24*G24</f>
        <v/>
      </c>
      <c r="K24" s="4">
        <f>IF(J24&gt;=1000,"Large","Small")</f>
        <v/>
      </c>
      <c r="L24" s="4">
        <f>IFS(J24&gt;=2000,"Very High",J24&gt;=1000,"High",J24&gt;=500,"Medium",TRUE,"Low")</f>
        <v/>
      </c>
      <c r="M24" s="4">
        <f>IF(AND(J24&gt;=1000,F24&gt;=5),"Priority","Normal")</f>
        <v/>
      </c>
      <c r="N24" s="4">
        <f>IF(OR(F24&gt;=10,J24&gt;=2000),"Special","Normal")</f>
        <v/>
      </c>
      <c r="O24" s="10">
        <f>IFERROR(J24/F24,0)</f>
        <v/>
      </c>
    </row>
    <row r="25">
      <c r="A25" s="4" t="inlineStr">
        <is>
          <t>ORD-1024</t>
        </is>
      </c>
      <c r="B25" s="9" t="inlineStr">
        <is>
          <t>2026-02-28</t>
        </is>
      </c>
      <c r="C25" s="4" t="inlineStr">
        <is>
          <t>melissa NG</t>
        </is>
      </c>
      <c r="D25" s="4" t="inlineStr">
        <is>
          <t>West</t>
        </is>
      </c>
      <c r="E25" s="4" t="inlineStr">
        <is>
          <t>Home</t>
        </is>
      </c>
      <c r="F25" s="4" t="n">
        <v>7</v>
      </c>
      <c r="G25" s="10" t="n">
        <v>100</v>
      </c>
      <c r="H25" s="4" t="inlineStr">
        <is>
          <t>David</t>
        </is>
      </c>
      <c r="I25" s="4">
        <f>PROPER(C25)</f>
        <v/>
      </c>
      <c r="J25" s="10">
        <f>F25*G25</f>
        <v/>
      </c>
      <c r="K25" s="4">
        <f>IF(J25&gt;=1000,"Large","Small")</f>
        <v/>
      </c>
      <c r="L25" s="4">
        <f>IFS(J25&gt;=2000,"Very High",J25&gt;=1000,"High",J25&gt;=500,"Medium",TRUE,"Low")</f>
        <v/>
      </c>
      <c r="M25" s="4">
        <f>IF(AND(J25&gt;=1000,F25&gt;=5),"Priority","Normal")</f>
        <v/>
      </c>
      <c r="N25" s="4">
        <f>IF(OR(F25&gt;=10,J25&gt;=2000),"Special","Normal")</f>
        <v/>
      </c>
      <c r="O25" s="10">
        <f>IFERROR(J25/F25,0)</f>
        <v/>
      </c>
    </row>
    <row r="26">
      <c r="A26" s="4" t="inlineStr">
        <is>
          <t>ORD-1025</t>
        </is>
      </c>
      <c r="B26" s="9" t="inlineStr">
        <is>
          <t>2026-03-01</t>
        </is>
      </c>
      <c r="C26" s="4" t="inlineStr">
        <is>
          <t>alexANDER LEE</t>
        </is>
      </c>
      <c r="D26" s="4" t="inlineStr">
        <is>
          <t>North</t>
        </is>
      </c>
      <c r="E26" s="4" t="inlineStr">
        <is>
          <t>Electronics</t>
        </is>
      </c>
      <c r="F26" s="4" t="n">
        <v>4</v>
      </c>
      <c r="G26" s="10" t="n">
        <v>400</v>
      </c>
      <c r="H26" s="4" t="inlineStr">
        <is>
          <t>Alice</t>
        </is>
      </c>
      <c r="I26" s="4">
        <f>PROPER(C26)</f>
        <v/>
      </c>
      <c r="J26" s="10">
        <f>F26*G26</f>
        <v/>
      </c>
      <c r="K26" s="4">
        <f>IF(J26&gt;=1000,"Large","Small")</f>
        <v/>
      </c>
      <c r="L26" s="4">
        <f>IFS(J26&gt;=2000,"Very High",J26&gt;=1000,"High",J26&gt;=500,"Medium",TRUE,"Low")</f>
        <v/>
      </c>
      <c r="M26" s="4">
        <f>IF(AND(J26&gt;=1000,F26&gt;=5),"Priority","Normal")</f>
        <v/>
      </c>
      <c r="N26" s="4">
        <f>IF(OR(F26&gt;=10,J26&gt;=2000),"Special","Normal")</f>
        <v/>
      </c>
      <c r="O26" s="10">
        <f>IFERROR(J26/F26,0)</f>
        <v/>
      </c>
    </row>
    <row r="27">
      <c r="A27" s="4" t="inlineStr">
        <is>
          <t>ORD-1026</t>
        </is>
      </c>
      <c r="B27" s="9" t="inlineStr">
        <is>
          <t>2026-03-03</t>
        </is>
      </c>
      <c r="C27" s="4" t="inlineStr">
        <is>
          <t>nicole ADAMS</t>
        </is>
      </c>
      <c r="D27" s="4" t="inlineStr">
        <is>
          <t>South</t>
        </is>
      </c>
      <c r="E27" s="4" t="inlineStr">
        <is>
          <t>Apparel</t>
        </is>
      </c>
      <c r="F27" s="4" t="n">
        <v>3</v>
      </c>
      <c r="G27" s="10" t="n">
        <v>90</v>
      </c>
      <c r="H27" s="4" t="inlineStr">
        <is>
          <t>Bob</t>
        </is>
      </c>
      <c r="I27" s="4">
        <f>PROPER(C27)</f>
        <v/>
      </c>
      <c r="J27" s="10">
        <f>F27*G27</f>
        <v/>
      </c>
      <c r="K27" s="4">
        <f>IF(J27&gt;=1000,"Large","Small")</f>
        <v/>
      </c>
      <c r="L27" s="4">
        <f>IFS(J27&gt;=2000,"Very High",J27&gt;=1000,"High",J27&gt;=500,"Medium",TRUE,"Low")</f>
        <v/>
      </c>
      <c r="M27" s="4">
        <f>IF(AND(J27&gt;=1000,F27&gt;=5),"Priority","Normal")</f>
        <v/>
      </c>
      <c r="N27" s="4">
        <f>IF(OR(F27&gt;=10,J27&gt;=2000),"Special","Normal")</f>
        <v/>
      </c>
      <c r="O27" s="10">
        <f>IFERROR(J27/F27,0)</f>
        <v/>
      </c>
    </row>
    <row r="28">
      <c r="A28" s="4" t="inlineStr">
        <is>
          <t>ORD-1027</t>
        </is>
      </c>
      <c r="B28" s="9" t="inlineStr">
        <is>
          <t>2026-03-05</t>
        </is>
      </c>
      <c r="C28" s="4" t="inlineStr">
        <is>
          <t>steven BAKER</t>
        </is>
      </c>
      <c r="D28" s="4" t="inlineStr">
        <is>
          <t>East</t>
        </is>
      </c>
      <c r="E28" s="4" t="inlineStr">
        <is>
          <t>Home</t>
        </is>
      </c>
      <c r="F28" s="4" t="n">
        <v>2</v>
      </c>
      <c r="G28" s="10" t="n">
        <v>220</v>
      </c>
      <c r="H28" s="4" t="inlineStr">
        <is>
          <t>Charlie</t>
        </is>
      </c>
      <c r="I28" s="4">
        <f>PROPER(C28)</f>
        <v/>
      </c>
      <c r="J28" s="10">
        <f>F28*G28</f>
        <v/>
      </c>
      <c r="K28" s="4">
        <f>IF(J28&gt;=1000,"Large","Small")</f>
        <v/>
      </c>
      <c r="L28" s="4">
        <f>IFS(J28&gt;=2000,"Very High",J28&gt;=1000,"High",J28&gt;=500,"Medium",TRUE,"Low")</f>
        <v/>
      </c>
      <c r="M28" s="4">
        <f>IF(AND(J28&gt;=1000,F28&gt;=5),"Priority","Normal")</f>
        <v/>
      </c>
      <c r="N28" s="4">
        <f>IF(OR(F28&gt;=10,J28&gt;=2000),"Special","Normal")</f>
        <v/>
      </c>
      <c r="O28" s="10">
        <f>IFERROR(J28/F28,0)</f>
        <v/>
      </c>
    </row>
    <row r="29">
      <c r="A29" s="4" t="inlineStr">
        <is>
          <t>ORD-1028</t>
        </is>
      </c>
      <c r="B29" s="9" t="inlineStr">
        <is>
          <t>2026-03-08</t>
        </is>
      </c>
      <c r="C29" s="4" t="inlineStr">
        <is>
          <t>hannah NELSON</t>
        </is>
      </c>
      <c r="D29" s="4" t="inlineStr">
        <is>
          <t>West</t>
        </is>
      </c>
      <c r="E29" s="4" t="inlineStr">
        <is>
          <t>Electronics</t>
        </is>
      </c>
      <c r="F29" s="4" t="n">
        <v>1</v>
      </c>
      <c r="G29" s="10" t="n">
        <v>1100</v>
      </c>
      <c r="H29" s="4" t="inlineStr">
        <is>
          <t>Alice</t>
        </is>
      </c>
      <c r="I29" s="4">
        <f>PROPER(C29)</f>
        <v/>
      </c>
      <c r="J29" s="10">
        <f>F29*G29</f>
        <v/>
      </c>
      <c r="K29" s="4">
        <f>IF(J29&gt;=1000,"Large","Small")</f>
        <v/>
      </c>
      <c r="L29" s="4">
        <f>IFS(J29&gt;=2000,"Very High",J29&gt;=1000,"High",J29&gt;=500,"Medium",TRUE,"Low")</f>
        <v/>
      </c>
      <c r="M29" s="4">
        <f>IF(AND(J29&gt;=1000,F29&gt;=5),"Priority","Normal")</f>
        <v/>
      </c>
      <c r="N29" s="4">
        <f>IF(OR(F29&gt;=10,J29&gt;=2000),"Special","Normal")</f>
        <v/>
      </c>
      <c r="O29" s="10">
        <f>IFERROR(J29/F29,0)</f>
        <v/>
      </c>
    </row>
    <row r="30">
      <c r="A30" s="4" t="inlineStr">
        <is>
          <t>ORD-1029</t>
        </is>
      </c>
      <c r="B30" s="9" t="inlineStr">
        <is>
          <t>2026-03-10</t>
        </is>
      </c>
      <c r="C30" s="4" t="inlineStr">
        <is>
          <t>eric CARTER</t>
        </is>
      </c>
      <c r="D30" s="4" t="inlineStr">
        <is>
          <t>North</t>
        </is>
      </c>
      <c r="E30" s="4" t="inlineStr">
        <is>
          <t>Apparel</t>
        </is>
      </c>
      <c r="F30" s="4" t="n">
        <v>9</v>
      </c>
      <c r="G30" s="10" t="n">
        <v>45</v>
      </c>
      <c r="H30" s="4" t="inlineStr">
        <is>
          <t>David</t>
        </is>
      </c>
      <c r="I30" s="4">
        <f>PROPER(C30)</f>
        <v/>
      </c>
      <c r="J30" s="10">
        <f>F30*G30</f>
        <v/>
      </c>
      <c r="K30" s="4">
        <f>IF(J30&gt;=1000,"Large","Small")</f>
        <v/>
      </c>
      <c r="L30" s="4">
        <f>IFS(J30&gt;=2000,"Very High",J30&gt;=1000,"High",J30&gt;=500,"Medium",TRUE,"Low")</f>
        <v/>
      </c>
      <c r="M30" s="4">
        <f>IF(AND(J30&gt;=1000,F30&gt;=5),"Priority","Normal")</f>
        <v/>
      </c>
      <c r="N30" s="4">
        <f>IF(OR(F30&gt;=10,J30&gt;=2000),"Special","Normal")</f>
        <v/>
      </c>
      <c r="O30" s="10">
        <f>IFERROR(J30/F30,0)</f>
        <v/>
      </c>
    </row>
    <row r="31">
      <c r="A31" s="4" t="inlineStr">
        <is>
          <t>ORD-1030</t>
        </is>
      </c>
      <c r="B31" s="9" t="inlineStr">
        <is>
          <t>2026-03-12</t>
        </is>
      </c>
      <c r="C31" s="4" t="inlineStr">
        <is>
          <t>stephanie MITCHELL</t>
        </is>
      </c>
      <c r="D31" s="4" t="inlineStr">
        <is>
          <t>South</t>
        </is>
      </c>
      <c r="E31" s="4" t="inlineStr">
        <is>
          <t>Home</t>
        </is>
      </c>
      <c r="F31" s="4" t="n">
        <v>5</v>
      </c>
      <c r="G31" s="10" t="n">
        <v>115</v>
      </c>
      <c r="H31" s="4" t="inlineStr">
        <is>
          <t>Bob</t>
        </is>
      </c>
      <c r="I31" s="4">
        <f>PROPER(C31)</f>
        <v/>
      </c>
      <c r="J31" s="10">
        <f>F31*G31</f>
        <v/>
      </c>
      <c r="K31" s="4">
        <f>IF(J31&gt;=1000,"Large","Small")</f>
        <v/>
      </c>
      <c r="L31" s="4">
        <f>IFS(J31&gt;=2000,"Very High",J31&gt;=1000,"High",J31&gt;=500,"Medium",TRUE,"Low")</f>
        <v/>
      </c>
      <c r="M31" s="4">
        <f>IF(AND(J31&gt;=1000,F31&gt;=5),"Priority","Normal")</f>
        <v/>
      </c>
      <c r="N31" s="4">
        <f>IF(OR(F31&gt;=10,J31&gt;=2000),"Special","Normal")</f>
        <v/>
      </c>
      <c r="O31" s="10">
        <f>IFERROR(J31/F31,0)</f>
        <v/>
      </c>
    </row>
    <row r="32">
      <c r="A32" s="4" t="inlineStr">
        <is>
          <t>ORD-1031</t>
        </is>
      </c>
      <c r="B32" s="9" t="inlineStr">
        <is>
          <t>2026-03-15</t>
        </is>
      </c>
      <c r="C32" s="4" t="inlineStr">
        <is>
          <t>patrick PEREZ</t>
        </is>
      </c>
      <c r="D32" s="4" t="inlineStr">
        <is>
          <t>East</t>
        </is>
      </c>
      <c r="E32" s="4" t="inlineStr">
        <is>
          <t>Electronics</t>
        </is>
      </c>
      <c r="F32" s="4" t="n">
        <v>2</v>
      </c>
      <c r="G32" s="10" t="n">
        <v>480</v>
      </c>
      <c r="H32" s="4" t="inlineStr">
        <is>
          <t>Charlie</t>
        </is>
      </c>
      <c r="I32" s="4">
        <f>PROPER(C32)</f>
        <v/>
      </c>
      <c r="J32" s="10">
        <f>F32*G32</f>
        <v/>
      </c>
      <c r="K32" s="4">
        <f>IF(J32&gt;=1000,"Large","Small")</f>
        <v/>
      </c>
      <c r="L32" s="4">
        <f>IFS(J32&gt;=2000,"Very High",J32&gt;=1000,"High",J32&gt;=500,"Medium",TRUE,"Low")</f>
        <v/>
      </c>
      <c r="M32" s="4">
        <f>IF(AND(J32&gt;=1000,F32&gt;=5),"Priority","Normal")</f>
        <v/>
      </c>
      <c r="N32" s="4">
        <f>IF(OR(F32&gt;=10,J32&gt;=2000),"Special","Normal")</f>
        <v/>
      </c>
      <c r="O32" s="10">
        <f>IFERROR(J32/F32,0)</f>
        <v/>
      </c>
    </row>
    <row r="33">
      <c r="A33" s="4" t="inlineStr">
        <is>
          <t>ORD-1032</t>
        </is>
      </c>
      <c r="B33" s="9" t="inlineStr">
        <is>
          <t>2026-03-18</t>
        </is>
      </c>
      <c r="C33" s="4" t="inlineStr">
        <is>
          <t>samantha ROBERTS</t>
        </is>
      </c>
      <c r="D33" s="4" t="inlineStr">
        <is>
          <t>West</t>
        </is>
      </c>
      <c r="E33" s="4" t="inlineStr">
        <is>
          <t>Apparel</t>
        </is>
      </c>
      <c r="F33" s="4" t="n">
        <v>6</v>
      </c>
      <c r="G33" s="10" t="n">
        <v>55</v>
      </c>
      <c r="H33" s="4" t="inlineStr">
        <is>
          <t>David</t>
        </is>
      </c>
      <c r="I33" s="4">
        <f>PROPER(C33)</f>
        <v/>
      </c>
      <c r="J33" s="10">
        <f>F33*G33</f>
        <v/>
      </c>
      <c r="K33" s="4">
        <f>IF(J33&gt;=1000,"Large","Small")</f>
        <v/>
      </c>
      <c r="L33" s="4">
        <f>IFS(J33&gt;=2000,"Very High",J33&gt;=1000,"High",J33&gt;=500,"Medium",TRUE,"Low")</f>
        <v/>
      </c>
      <c r="M33" s="4">
        <f>IF(AND(J33&gt;=1000,F33&gt;=5),"Priority","Normal")</f>
        <v/>
      </c>
      <c r="N33" s="4">
        <f>IF(OR(F33&gt;=10,J33&gt;=2000),"Special","Normal")</f>
        <v/>
      </c>
      <c r="O33" s="10">
        <f>IFERROR(J33/F33,0)</f>
        <v/>
      </c>
    </row>
    <row r="34">
      <c r="A34" s="4" t="inlineStr">
        <is>
          <t>ORD-1033</t>
        </is>
      </c>
      <c r="B34" s="9" t="inlineStr">
        <is>
          <t>2026-03-20</t>
        </is>
      </c>
      <c r="C34" s="4" t="inlineStr">
        <is>
          <t>nathan TURNER</t>
        </is>
      </c>
      <c r="D34" s="4" t="inlineStr">
        <is>
          <t>North</t>
        </is>
      </c>
      <c r="E34" s="4" t="inlineStr">
        <is>
          <t>Home</t>
        </is>
      </c>
      <c r="F34" s="4" t="n">
        <v>3</v>
      </c>
      <c r="G34" s="10" t="n">
        <v>140</v>
      </c>
      <c r="H34" s="4" t="inlineStr">
        <is>
          <t>Alice</t>
        </is>
      </c>
      <c r="I34" s="4">
        <f>PROPER(C34)</f>
        <v/>
      </c>
      <c r="J34" s="10">
        <f>F34*G34</f>
        <v/>
      </c>
      <c r="K34" s="4">
        <f>IF(J34&gt;=1000,"Large","Small")</f>
        <v/>
      </c>
      <c r="L34" s="4">
        <f>IFS(J34&gt;=2000,"Very High",J34&gt;=1000,"High",J34&gt;=500,"Medium",TRUE,"Low")</f>
        <v/>
      </c>
      <c r="M34" s="4">
        <f>IF(AND(J34&gt;=1000,F34&gt;=5),"Priority","Normal")</f>
        <v/>
      </c>
      <c r="N34" s="4">
        <f>IF(OR(F34&gt;=10,J34&gt;=2000),"Special","Normal")</f>
        <v/>
      </c>
      <c r="O34" s="10">
        <f>IFERROR(J34/F34,0)</f>
        <v/>
      </c>
    </row>
    <row r="35">
      <c r="A35" s="4" t="inlineStr">
        <is>
          <t>ORD-1034</t>
        </is>
      </c>
      <c r="B35" s="9" t="inlineStr">
        <is>
          <t>2026-03-22</t>
        </is>
      </c>
      <c r="C35" s="4" t="inlineStr">
        <is>
          <t>kristen PHILLIPS</t>
        </is>
      </c>
      <c r="D35" s="4" t="inlineStr">
        <is>
          <t>South</t>
        </is>
      </c>
      <c r="E35" s="4" t="inlineStr">
        <is>
          <t>Electronics</t>
        </is>
      </c>
      <c r="F35" s="4" t="n">
        <v>1</v>
      </c>
      <c r="G35" s="10" t="n">
        <v>900</v>
      </c>
      <c r="H35" s="4" t="inlineStr">
        <is>
          <t>Bob</t>
        </is>
      </c>
      <c r="I35" s="4">
        <f>PROPER(C35)</f>
        <v/>
      </c>
      <c r="J35" s="10">
        <f>F35*G35</f>
        <v/>
      </c>
      <c r="K35" s="4">
        <f>IF(J35&gt;=1000,"Large","Small")</f>
        <v/>
      </c>
      <c r="L35" s="4">
        <f>IFS(J35&gt;=2000,"Very High",J35&gt;=1000,"High",J35&gt;=500,"Medium",TRUE,"Low")</f>
        <v/>
      </c>
      <c r="M35" s="4">
        <f>IF(AND(J35&gt;=1000,F35&gt;=5),"Priority","Normal")</f>
        <v/>
      </c>
      <c r="N35" s="4">
        <f>IF(OR(F35&gt;=10,J35&gt;=2000),"Special","Normal")</f>
        <v/>
      </c>
      <c r="O35" s="10">
        <f>IFERROR(J35/F35,0)</f>
        <v/>
      </c>
    </row>
    <row r="36">
      <c r="A36" s="4" t="inlineStr">
        <is>
          <t>ORD-1035</t>
        </is>
      </c>
      <c r="B36" s="9" t="inlineStr">
        <is>
          <t>2026-03-25</t>
        </is>
      </c>
      <c r="C36" s="4" t="inlineStr">
        <is>
          <t>adam CAMPBELL</t>
        </is>
      </c>
      <c r="D36" s="4" t="inlineStr">
        <is>
          <t>East</t>
        </is>
      </c>
      <c r="E36" s="4" t="inlineStr">
        <is>
          <t>Apparel</t>
        </is>
      </c>
      <c r="F36" s="4" t="n">
        <v>4</v>
      </c>
      <c r="G36" s="10" t="n">
        <v>70</v>
      </c>
      <c r="H36" s="4" t="inlineStr">
        <is>
          <t>Charlie</t>
        </is>
      </c>
      <c r="I36" s="4">
        <f>PROPER(C36)</f>
        <v/>
      </c>
      <c r="J36" s="10">
        <f>F36*G36</f>
        <v/>
      </c>
      <c r="K36" s="4">
        <f>IF(J36&gt;=1000,"Large","Small")</f>
        <v/>
      </c>
      <c r="L36" s="4">
        <f>IFS(J36&gt;=2000,"Very High",J36&gt;=1000,"High",J36&gt;=500,"Medium",TRUE,"Low")</f>
        <v/>
      </c>
      <c r="M36" s="4">
        <f>IF(AND(J36&gt;=1000,F36&gt;=5),"Priority","Normal")</f>
        <v/>
      </c>
      <c r="N36" s="4">
        <f>IF(OR(F36&gt;=10,J36&gt;=2000),"Special","Normal")</f>
        <v/>
      </c>
      <c r="O36" s="10">
        <f>IFERROR(J36/F36,0)</f>
        <v/>
      </c>
    </row>
    <row r="37">
      <c r="A37" s="4" t="inlineStr">
        <is>
          <t>ORD-1036</t>
        </is>
      </c>
      <c r="B37" s="9" t="inlineStr">
        <is>
          <t>2026-03-28</t>
        </is>
      </c>
      <c r="C37" s="4" t="inlineStr">
        <is>
          <t>rachel PARKER</t>
        </is>
      </c>
      <c r="D37" s="4" t="inlineStr">
        <is>
          <t>West</t>
        </is>
      </c>
      <c r="E37" s="4" t="inlineStr">
        <is>
          <t>Home</t>
        </is>
      </c>
      <c r="F37" s="4" t="n">
        <v>5</v>
      </c>
      <c r="G37" s="10" t="n">
        <v>125</v>
      </c>
      <c r="H37" s="4" t="inlineStr">
        <is>
          <t>David</t>
        </is>
      </c>
      <c r="I37" s="4">
        <f>PROPER(C37)</f>
        <v/>
      </c>
      <c r="J37" s="10">
        <f>F37*G37</f>
        <v/>
      </c>
      <c r="K37" s="4">
        <f>IF(J37&gt;=1000,"Large","Small")</f>
        <v/>
      </c>
      <c r="L37" s="4">
        <f>IFS(J37&gt;=2000,"Very High",J37&gt;=1000,"High",J37&gt;=500,"Medium",TRUE,"Low")</f>
        <v/>
      </c>
      <c r="M37" s="4">
        <f>IF(AND(J37&gt;=1000,F37&gt;=5),"Priority","Normal")</f>
        <v/>
      </c>
      <c r="N37" s="4">
        <f>IF(OR(F37&gt;=10,J37&gt;=2000),"Special","Normal")</f>
        <v/>
      </c>
      <c r="O37" s="10">
        <f>IFERROR(J37/F37,0)</f>
        <v/>
      </c>
    </row>
    <row r="38">
      <c r="A38" s="4" t="inlineStr">
        <is>
          <t>ORD-1037</t>
        </is>
      </c>
      <c r="B38" s="9" t="inlineStr">
        <is>
          <t>2026-04-01</t>
        </is>
      </c>
      <c r="C38" s="4" t="inlineStr">
        <is>
          <t>jason EVANS</t>
        </is>
      </c>
      <c r="D38" s="4" t="inlineStr">
        <is>
          <t>North</t>
        </is>
      </c>
      <c r="E38" s="4" t="inlineStr">
        <is>
          <t>Electronics</t>
        </is>
      </c>
      <c r="F38" s="4" t="n">
        <v>3</v>
      </c>
      <c r="G38" s="10" t="n">
        <v>550</v>
      </c>
      <c r="H38" s="4" t="inlineStr">
        <is>
          <t>Alice</t>
        </is>
      </c>
      <c r="I38" s="4">
        <f>PROPER(C38)</f>
        <v/>
      </c>
      <c r="J38" s="10">
        <f>F38*G38</f>
        <v/>
      </c>
      <c r="K38" s="4">
        <f>IF(J38&gt;=1000,"Large","Small")</f>
        <v/>
      </c>
      <c r="L38" s="4">
        <f>IFS(J38&gt;=2000,"Very High",J38&gt;=1000,"High",J38&gt;=500,"Medium",TRUE,"Low")</f>
        <v/>
      </c>
      <c r="M38" s="4">
        <f>IF(AND(J38&gt;=1000,F38&gt;=5),"Priority","Normal")</f>
        <v/>
      </c>
      <c r="N38" s="4">
        <f>IF(OR(F38&gt;=10,J38&gt;=2000),"Special","Normal")</f>
        <v/>
      </c>
      <c r="O38" s="10">
        <f>IFERROR(J38/F38,0)</f>
        <v/>
      </c>
    </row>
    <row r="39">
      <c r="A39" s="4" t="inlineStr">
        <is>
          <t>ORD-1038</t>
        </is>
      </c>
      <c r="B39" s="9" t="inlineStr">
        <is>
          <t>2026-04-03</t>
        </is>
      </c>
      <c r="C39" s="4" t="inlineStr">
        <is>
          <t>victoria EDWARDS</t>
        </is>
      </c>
      <c r="D39" s="4" t="inlineStr">
        <is>
          <t>South</t>
        </is>
      </c>
      <c r="E39" s="4" t="inlineStr">
        <is>
          <t>Apparel</t>
        </is>
      </c>
      <c r="F39" s="4" t="n">
        <v>7</v>
      </c>
      <c r="G39" s="10" t="n">
        <v>50</v>
      </c>
      <c r="H39" s="4" t="inlineStr">
        <is>
          <t>Bob</t>
        </is>
      </c>
      <c r="I39" s="4">
        <f>PROPER(C39)</f>
        <v/>
      </c>
      <c r="J39" s="10">
        <f>F39*G39</f>
        <v/>
      </c>
      <c r="K39" s="4">
        <f>IF(J39&gt;=1000,"Large","Small")</f>
        <v/>
      </c>
      <c r="L39" s="4">
        <f>IFS(J39&gt;=2000,"Very High",J39&gt;=1000,"High",J39&gt;=500,"Medium",TRUE,"Low")</f>
        <v/>
      </c>
      <c r="M39" s="4">
        <f>IF(AND(J39&gt;=1000,F39&gt;=5),"Priority","Normal")</f>
        <v/>
      </c>
      <c r="N39" s="4">
        <f>IF(OR(F39&gt;=10,J39&gt;=2000),"Special","Normal")</f>
        <v/>
      </c>
      <c r="O39" s="10">
        <f>IFERROR(J39/F39,0)</f>
        <v/>
      </c>
    </row>
    <row r="40">
      <c r="A40" s="4" t="inlineStr">
        <is>
          <t>ORD-1039</t>
        </is>
      </c>
      <c r="B40" s="9" t="inlineStr">
        <is>
          <t>2026-04-05</t>
        </is>
      </c>
      <c r="C40" s="4" t="inlineStr">
        <is>
          <t>sean COLLINS</t>
        </is>
      </c>
      <c r="D40" s="4" t="inlineStr">
        <is>
          <t>East</t>
        </is>
      </c>
      <c r="E40" s="4" t="inlineStr">
        <is>
          <t>Home</t>
        </is>
      </c>
      <c r="F40" s="4" t="n">
        <v>2</v>
      </c>
      <c r="G40" s="10" t="n">
        <v>180</v>
      </c>
      <c r="H40" s="4" t="inlineStr">
        <is>
          <t>Charlie</t>
        </is>
      </c>
      <c r="I40" s="4">
        <f>PROPER(C40)</f>
        <v/>
      </c>
      <c r="J40" s="10">
        <f>F40*G40</f>
        <v/>
      </c>
      <c r="K40" s="4">
        <f>IF(J40&gt;=1000,"Large","Small")</f>
        <v/>
      </c>
      <c r="L40" s="4">
        <f>IFS(J40&gt;=2000,"Very High",J40&gt;=1000,"High",J40&gt;=500,"Medium",TRUE,"Low")</f>
        <v/>
      </c>
      <c r="M40" s="4">
        <f>IF(AND(J40&gt;=1000,F40&gt;=5),"Priority","Normal")</f>
        <v/>
      </c>
      <c r="N40" s="4">
        <f>IF(OR(F40&gt;=10,J40&gt;=2000),"Special","Normal")</f>
        <v/>
      </c>
      <c r="O40" s="10">
        <f>IFERROR(J40/F40,0)</f>
        <v/>
      </c>
    </row>
    <row r="41">
      <c r="A41" s="4" t="inlineStr">
        <is>
          <t>ORD-1040</t>
        </is>
      </c>
      <c r="B41" s="9" t="inlineStr">
        <is>
          <t>2026-04-08</t>
        </is>
      </c>
      <c r="C41" s="4" t="inlineStr">
        <is>
          <t>katherine STEWART</t>
        </is>
      </c>
      <c r="D41" s="4" t="inlineStr">
        <is>
          <t>West</t>
        </is>
      </c>
      <c r="E41" s="4" t="inlineStr">
        <is>
          <t>Electronics</t>
        </is>
      </c>
      <c r="F41" s="4" t="n">
        <v>1</v>
      </c>
      <c r="G41" s="10" t="n">
        <v>1300</v>
      </c>
      <c r="H41" s="4" t="inlineStr">
        <is>
          <t>Alice</t>
        </is>
      </c>
      <c r="I41" s="4">
        <f>PROPER(C41)</f>
        <v/>
      </c>
      <c r="J41" s="10">
        <f>F41*G41</f>
        <v/>
      </c>
      <c r="K41" s="4">
        <f>IF(J41&gt;=1000,"Large","Small")</f>
        <v/>
      </c>
      <c r="L41" s="4">
        <f>IFS(J41&gt;=2000,"Very High",J41&gt;=1000,"High",J41&gt;=500,"Medium",TRUE,"Low")</f>
        <v/>
      </c>
      <c r="M41" s="4">
        <f>IF(AND(J41&gt;=1000,F41&gt;=5),"Priority","Normal")</f>
        <v/>
      </c>
      <c r="N41" s="4">
        <f>IF(OR(F41&gt;=10,J41&gt;=2000),"Special","Normal")</f>
        <v/>
      </c>
      <c r="O41" s="10">
        <f>IFERROR(J41/F41,0)</f>
        <v/>
      </c>
    </row>
    <row r="42">
      <c r="A42" s="4" t="inlineStr">
        <is>
          <t>ORD-1041</t>
        </is>
      </c>
      <c r="B42" s="9" t="inlineStr">
        <is>
          <t>2026-04-10</t>
        </is>
      </c>
      <c r="C42" s="4" t="inlineStr">
        <is>
          <t>christian SANCHEZ</t>
        </is>
      </c>
      <c r="D42" s="4" t="inlineStr">
        <is>
          <t>North</t>
        </is>
      </c>
      <c r="E42" s="4" t="inlineStr">
        <is>
          <t>Apparel</t>
        </is>
      </c>
      <c r="F42" s="4" t="n">
        <v>5</v>
      </c>
      <c r="G42" s="10" t="n">
        <v>85</v>
      </c>
      <c r="H42" s="4" t="inlineStr">
        <is>
          <t>David</t>
        </is>
      </c>
      <c r="I42" s="4">
        <f>PROPER(C42)</f>
        <v/>
      </c>
      <c r="J42" s="10">
        <f>F42*G42</f>
        <v/>
      </c>
      <c r="K42" s="4">
        <f>IF(J42&gt;=1000,"Large","Small")</f>
        <v/>
      </c>
      <c r="L42" s="4">
        <f>IFS(J42&gt;=2000,"Very High",J42&gt;=1000,"High",J42&gt;=500,"Medium",TRUE,"Low")</f>
        <v/>
      </c>
      <c r="M42" s="4">
        <f>IF(AND(J42&gt;=1000,F42&gt;=5),"Priority","Normal")</f>
        <v/>
      </c>
      <c r="N42" s="4">
        <f>IF(OR(F42&gt;=10,J42&gt;=2000),"Special","Normal")</f>
        <v/>
      </c>
      <c r="O42" s="10">
        <f>IFERROR(J42/F42,0)</f>
        <v/>
      </c>
    </row>
    <row r="43">
      <c r="A43" s="4" t="inlineStr">
        <is>
          <t>ORD-1042</t>
        </is>
      </c>
      <c r="B43" s="9" t="inlineStr">
        <is>
          <t>2026-04-12</t>
        </is>
      </c>
      <c r="C43" s="4" t="inlineStr">
        <is>
          <t>rebecca MORRIS</t>
        </is>
      </c>
      <c r="D43" s="4" t="inlineStr">
        <is>
          <t>South</t>
        </is>
      </c>
      <c r="E43" s="4" t="inlineStr">
        <is>
          <t>Home</t>
        </is>
      </c>
      <c r="F43" s="4" t="n">
        <v>4</v>
      </c>
      <c r="G43" s="10" t="n">
        <v>95</v>
      </c>
      <c r="H43" s="4" t="inlineStr">
        <is>
          <t>Bob</t>
        </is>
      </c>
      <c r="I43" s="4">
        <f>PROPER(C43)</f>
        <v/>
      </c>
      <c r="J43" s="10">
        <f>F43*G43</f>
        <v/>
      </c>
      <c r="K43" s="4">
        <f>IF(J43&gt;=1000,"Large","Small")</f>
        <v/>
      </c>
      <c r="L43" s="4">
        <f>IFS(J43&gt;=2000,"Very High",J43&gt;=1000,"High",J43&gt;=500,"Medium",TRUE,"Low")</f>
        <v/>
      </c>
      <c r="M43" s="4">
        <f>IF(AND(J43&gt;=1000,F43&gt;=5),"Priority","Normal")</f>
        <v/>
      </c>
      <c r="N43" s="4">
        <f>IF(OR(F43&gt;=10,J43&gt;=2000),"Special","Normal")</f>
        <v/>
      </c>
      <c r="O43" s="10">
        <f>IFERROR(J43/F43,0)</f>
        <v/>
      </c>
    </row>
    <row r="44">
      <c r="A44" s="4" t="inlineStr">
        <is>
          <t>ORD-1043</t>
        </is>
      </c>
      <c r="B44" s="9" t="inlineStr">
        <is>
          <t>2026-04-15</t>
        </is>
      </c>
      <c r="C44" s="4" t="inlineStr">
        <is>
          <t>aaron ROGERS</t>
        </is>
      </c>
      <c r="D44" s="4" t="inlineStr">
        <is>
          <t>East</t>
        </is>
      </c>
      <c r="E44" s="4" t="inlineStr">
        <is>
          <t>Electronics</t>
        </is>
      </c>
      <c r="F44" s="4" t="n">
        <v>2</v>
      </c>
      <c r="G44" s="10" t="n">
        <v>420</v>
      </c>
      <c r="H44" s="4" t="inlineStr">
        <is>
          <t>Charlie</t>
        </is>
      </c>
      <c r="I44" s="4">
        <f>PROPER(C44)</f>
        <v/>
      </c>
      <c r="J44" s="10">
        <f>F44*G44</f>
        <v/>
      </c>
      <c r="K44" s="4">
        <f>IF(J44&gt;=1000,"Large","Small")</f>
        <v/>
      </c>
      <c r="L44" s="4">
        <f>IFS(J44&gt;=2000,"Very High",J44&gt;=1000,"High",J44&gt;=500,"Medium",TRUE,"Low")</f>
        <v/>
      </c>
      <c r="M44" s="4">
        <f>IF(AND(J44&gt;=1000,F44&gt;=5),"Priority","Normal")</f>
        <v/>
      </c>
      <c r="N44" s="4">
        <f>IF(OR(F44&gt;=10,J44&gt;=2000),"Special","Normal")</f>
        <v/>
      </c>
      <c r="O44" s="10">
        <f>IFERROR(J44/F44,0)</f>
        <v/>
      </c>
    </row>
    <row r="45">
      <c r="A45" s="4" t="inlineStr">
        <is>
          <t>ORD-1044</t>
        </is>
      </c>
      <c r="B45" s="9" t="inlineStr">
        <is>
          <t>2026-04-18</t>
        </is>
      </c>
      <c r="C45" s="4" t="inlineStr">
        <is>
          <t>danielle REED</t>
        </is>
      </c>
      <c r="D45" s="4" t="inlineStr">
        <is>
          <t>West</t>
        </is>
      </c>
      <c r="E45" s="4" t="inlineStr">
        <is>
          <t>Apparel</t>
        </is>
      </c>
      <c r="F45" s="4" t="n">
        <v>8</v>
      </c>
      <c r="G45" s="10" t="n">
        <v>45</v>
      </c>
      <c r="H45" s="4" t="inlineStr">
        <is>
          <t>David</t>
        </is>
      </c>
      <c r="I45" s="4">
        <f>PROPER(C45)</f>
        <v/>
      </c>
      <c r="J45" s="10">
        <f>F45*G45</f>
        <v/>
      </c>
      <c r="K45" s="4">
        <f>IF(J45&gt;=1000,"Large","Small")</f>
        <v/>
      </c>
      <c r="L45" s="4">
        <f>IFS(J45&gt;=2000,"Very High",J45&gt;=1000,"High",J45&gt;=500,"Medium",TRUE,"Low")</f>
        <v/>
      </c>
      <c r="M45" s="4">
        <f>IF(AND(J45&gt;=1000,F45&gt;=5),"Priority","Normal")</f>
        <v/>
      </c>
      <c r="N45" s="4">
        <f>IF(OR(F45&gt;=10,J45&gt;=2000),"Special","Normal")</f>
        <v/>
      </c>
      <c r="O45" s="10">
        <f>IFERROR(J45/F45,0)</f>
        <v/>
      </c>
    </row>
    <row r="46">
      <c r="A46" s="4" t="inlineStr">
        <is>
          <t>ORD-1045</t>
        </is>
      </c>
      <c r="B46" s="9" t="inlineStr">
        <is>
          <t>2026-04-20</t>
        </is>
      </c>
      <c r="C46" s="4" t="inlineStr">
        <is>
          <t>zachary COOK</t>
        </is>
      </c>
      <c r="D46" s="4" t="inlineStr">
        <is>
          <t>North</t>
        </is>
      </c>
      <c r="E46" s="4" t="inlineStr">
        <is>
          <t>Home</t>
        </is>
      </c>
      <c r="F46" s="4" t="n">
        <v>3</v>
      </c>
      <c r="G46" s="10" t="n">
        <v>160</v>
      </c>
      <c r="H46" s="4" t="inlineStr">
        <is>
          <t>Alice</t>
        </is>
      </c>
      <c r="I46" s="4">
        <f>PROPER(C46)</f>
        <v/>
      </c>
      <c r="J46" s="10">
        <f>F46*G46</f>
        <v/>
      </c>
      <c r="K46" s="4">
        <f>IF(J46&gt;=1000,"Large","Small")</f>
        <v/>
      </c>
      <c r="L46" s="4">
        <f>IFS(J46&gt;=2000,"Very High",J46&gt;=1000,"High",J46&gt;=500,"Medium",TRUE,"Low")</f>
        <v/>
      </c>
      <c r="M46" s="4">
        <f>IF(AND(J46&gt;=1000,F46&gt;=5),"Priority","Normal")</f>
        <v/>
      </c>
      <c r="N46" s="4">
        <f>IF(OR(F46&gt;=10,J46&gt;=2000),"Special","Normal")</f>
        <v/>
      </c>
      <c r="O46" s="10">
        <f>IFERROR(J46/F46,0)</f>
        <v/>
      </c>
    </row>
    <row r="47">
      <c r="A47" s="4" t="inlineStr">
        <is>
          <t>ORD-1046</t>
        </is>
      </c>
      <c r="B47" s="9" t="inlineStr">
        <is>
          <t>2026-04-22</t>
        </is>
      </c>
      <c r="C47" s="4" t="inlineStr">
        <is>
          <t>morgan MORGAN</t>
        </is>
      </c>
      <c r="D47" s="4" t="inlineStr">
        <is>
          <t>South</t>
        </is>
      </c>
      <c r="E47" s="4" t="inlineStr">
        <is>
          <t>Electronics</t>
        </is>
      </c>
      <c r="F47" s="4" t="n">
        <v>1</v>
      </c>
      <c r="G47" s="10" t="n">
        <v>950</v>
      </c>
      <c r="H47" s="4" t="inlineStr">
        <is>
          <t>Bob</t>
        </is>
      </c>
      <c r="I47" s="4">
        <f>PROPER(C47)</f>
        <v/>
      </c>
      <c r="J47" s="10">
        <f>F47*G47</f>
        <v/>
      </c>
      <c r="K47" s="4">
        <f>IF(J47&gt;=1000,"Large","Small")</f>
        <v/>
      </c>
      <c r="L47" s="4">
        <f>IFS(J47&gt;=2000,"Very High",J47&gt;=1000,"High",J47&gt;=500,"Medium",TRUE,"Low")</f>
        <v/>
      </c>
      <c r="M47" s="4">
        <f>IF(AND(J47&gt;=1000,F47&gt;=5),"Priority","Normal")</f>
        <v/>
      </c>
      <c r="N47" s="4">
        <f>IF(OR(F47&gt;=10,J47&gt;=2000),"Special","Normal")</f>
        <v/>
      </c>
      <c r="O47" s="10">
        <f>IFERROR(J47/F47,0)</f>
        <v/>
      </c>
    </row>
    <row r="48">
      <c r="A48" s="4" t="inlineStr">
        <is>
          <t>ORD-1047</t>
        </is>
      </c>
      <c r="B48" s="9" t="inlineStr">
        <is>
          <t>2026-04-25</t>
        </is>
      </c>
      <c r="C48" s="4" t="inlineStr">
        <is>
          <t>jordan BELL</t>
        </is>
      </c>
      <c r="D48" s="4" t="inlineStr">
        <is>
          <t>East</t>
        </is>
      </c>
      <c r="E48" s="4" t="inlineStr">
        <is>
          <t>Apparel</t>
        </is>
      </c>
      <c r="F48" s="4" t="n">
        <v>6</v>
      </c>
      <c r="G48" s="10" t="n">
        <v>60</v>
      </c>
      <c r="H48" s="4" t="inlineStr">
        <is>
          <t>Charlie</t>
        </is>
      </c>
      <c r="I48" s="4">
        <f>PROPER(C48)</f>
        <v/>
      </c>
      <c r="J48" s="10">
        <f>F48*G48</f>
        <v/>
      </c>
      <c r="K48" s="4">
        <f>IF(J48&gt;=1000,"Large","Small")</f>
        <v/>
      </c>
      <c r="L48" s="4">
        <f>IFS(J48&gt;=2000,"Very High",J48&gt;=1000,"High",J48&gt;=500,"Medium",TRUE,"Low")</f>
        <v/>
      </c>
      <c r="M48" s="4">
        <f>IF(AND(J48&gt;=1000,F48&gt;=5),"Priority","Normal")</f>
        <v/>
      </c>
      <c r="N48" s="4">
        <f>IF(OR(F48&gt;=10,J48&gt;=2000),"Special","Normal")</f>
        <v/>
      </c>
      <c r="O48" s="10">
        <f>IFERROR(J48/F48,0)</f>
        <v/>
      </c>
    </row>
    <row r="49">
      <c r="A49" s="4" t="inlineStr">
        <is>
          <t>ORD-1048</t>
        </is>
      </c>
      <c r="B49" s="9" t="inlineStr">
        <is>
          <t>2026-04-28</t>
        </is>
      </c>
      <c r="C49" s="4" t="inlineStr">
        <is>
          <t>brittany MURPHY</t>
        </is>
      </c>
      <c r="D49" s="4" t="inlineStr">
        <is>
          <t>West</t>
        </is>
      </c>
      <c r="E49" s="4" t="inlineStr">
        <is>
          <t>Home</t>
        </is>
      </c>
      <c r="F49" s="4" t="n">
        <v>4</v>
      </c>
      <c r="G49" s="10" t="n">
        <v>150</v>
      </c>
      <c r="H49" s="4" t="inlineStr">
        <is>
          <t>David</t>
        </is>
      </c>
      <c r="I49" s="4">
        <f>PROPER(C49)</f>
        <v/>
      </c>
      <c r="J49" s="10">
        <f>F49*G49</f>
        <v/>
      </c>
      <c r="K49" s="4">
        <f>IF(J49&gt;=1000,"Large","Small")</f>
        <v/>
      </c>
      <c r="L49" s="4">
        <f>IFS(J49&gt;=2000,"Very High",J49&gt;=1000,"High",J49&gt;=500,"Medium",TRUE,"Low")</f>
        <v/>
      </c>
      <c r="M49" s="4">
        <f>IF(AND(J49&gt;=1000,F49&gt;=5),"Priority","Normal")</f>
        <v/>
      </c>
      <c r="N49" s="4">
        <f>IF(OR(F49&gt;=10,J49&gt;=2000),"Special","Normal")</f>
        <v/>
      </c>
      <c r="O49" s="10">
        <f>IFERROR(J49/F49,0)</f>
        <v/>
      </c>
    </row>
    <row r="50">
      <c r="A50" s="4" t="inlineStr">
        <is>
          <t>ORD-1049</t>
        </is>
      </c>
      <c r="B50" s="9" t="inlineStr">
        <is>
          <t>2026-04-30</t>
        </is>
      </c>
      <c r="C50" s="4" t="inlineStr">
        <is>
          <t>logan RIVERA</t>
        </is>
      </c>
      <c r="D50" s="4" t="inlineStr">
        <is>
          <t>North</t>
        </is>
      </c>
      <c r="E50" s="4" t="inlineStr">
        <is>
          <t>Electronics</t>
        </is>
      </c>
      <c r="F50" s="4" t="n">
        <v>2</v>
      </c>
      <c r="G50" s="10" t="n">
        <v>650</v>
      </c>
      <c r="H50" s="4" t="inlineStr">
        <is>
          <t>Alice</t>
        </is>
      </c>
      <c r="I50" s="4">
        <f>PROPER(C50)</f>
        <v/>
      </c>
      <c r="J50" s="10">
        <f>F50*G50</f>
        <v/>
      </c>
      <c r="K50" s="4">
        <f>IF(J50&gt;=1000,"Large","Small")</f>
        <v/>
      </c>
      <c r="L50" s="4">
        <f>IFS(J50&gt;=2000,"Very High",J50&gt;=1000,"High",J50&gt;=500,"Medium",TRUE,"Low")</f>
        <v/>
      </c>
      <c r="M50" s="4">
        <f>IF(AND(J50&gt;=1000,F50&gt;=5),"Priority","Normal")</f>
        <v/>
      </c>
      <c r="N50" s="4">
        <f>IF(OR(F50&gt;=10,J50&gt;=2000),"Special","Normal")</f>
        <v/>
      </c>
      <c r="O50" s="10">
        <f>IFERROR(J50/F50,0)</f>
        <v/>
      </c>
    </row>
    <row r="51">
      <c r="A51" s="4" t="inlineStr">
        <is>
          <t>ORD-1050</t>
        </is>
      </c>
      <c r="B51" s="9" t="inlineStr">
        <is>
          <t>2026-05-02</t>
        </is>
      </c>
      <c r="C51" s="4" t="inlineStr">
        <is>
          <t>KELLY COOPER</t>
        </is>
      </c>
      <c r="D51" s="4" t="inlineStr">
        <is>
          <t>South</t>
        </is>
      </c>
      <c r="E51" s="4" t="inlineStr">
        <is>
          <t>Apparel</t>
        </is>
      </c>
      <c r="F51" s="4" t="n">
        <v>5</v>
      </c>
      <c r="G51" s="10" t="n">
        <v>70</v>
      </c>
      <c r="H51" s="4" t="inlineStr">
        <is>
          <t>Bob</t>
        </is>
      </c>
      <c r="I51" s="4">
        <f>PROPER(C51)</f>
        <v/>
      </c>
      <c r="J51" s="10">
        <f>F51*G51</f>
        <v/>
      </c>
      <c r="K51" s="4">
        <f>IF(J51&gt;=1000,"Large","Small")</f>
        <v/>
      </c>
      <c r="L51" s="4">
        <f>IFS(J51&gt;=2000,"Very High",J51&gt;=1000,"High",J51&gt;=500,"Medium",TRUE,"Low")</f>
        <v/>
      </c>
      <c r="M51" s="4">
        <f>IF(AND(J51&gt;=1000,F51&gt;=5),"Priority","Normal")</f>
        <v/>
      </c>
      <c r="N51" s="4">
        <f>IF(OR(F51&gt;=10,J51&gt;=2000),"Special","Normal")</f>
        <v/>
      </c>
      <c r="O51" s="10">
        <f>IFERROR(J51/F51,0)</f>
        <v/>
      </c>
    </row>
    <row r="52">
      <c r="A52" s="4" t="inlineStr">
        <is>
          <t>ORD-1001</t>
        </is>
      </c>
      <c r="B52" s="9" t="inlineStr">
        <is>
          <t>2026-01-02</t>
        </is>
      </c>
      <c r="C52" s="4" t="inlineStr">
        <is>
          <t>john SMITH</t>
        </is>
      </c>
      <c r="D52" s="4" t="inlineStr">
        <is>
          <t>North</t>
        </is>
      </c>
      <c r="E52" s="4" t="inlineStr">
        <is>
          <t>Electronics</t>
        </is>
      </c>
      <c r="F52" s="4" t="n">
        <v>3</v>
      </c>
      <c r="G52" s="10" t="n">
        <v>450</v>
      </c>
      <c r="H52" s="4" t="inlineStr">
        <is>
          <t>Alice</t>
        </is>
      </c>
      <c r="I52" s="4">
        <f>PROPER(C52)</f>
        <v/>
      </c>
      <c r="J52" s="10">
        <f>F52*G52</f>
        <v/>
      </c>
      <c r="K52" s="4">
        <f>IF(J52&gt;=1000,"Large","Small")</f>
        <v/>
      </c>
      <c r="L52" s="4">
        <f>IFS(J52&gt;=2000,"Very High",J52&gt;=1000,"High",J52&gt;=500,"Medium",TRUE,"Low")</f>
        <v/>
      </c>
      <c r="M52" s="4">
        <f>IF(AND(J52&gt;=1000,F52&gt;=5),"Priority","Normal")</f>
        <v/>
      </c>
      <c r="N52" s="4">
        <f>IF(OR(F52&gt;=10,J52&gt;=2000),"Special","Normal")</f>
        <v/>
      </c>
      <c r="O52" s="10">
        <f>IFERROR(J52/F52,0)</f>
        <v/>
      </c>
    </row>
    <row r="53">
      <c r="A53" s="4" t="inlineStr">
        <is>
          <t>ORD-1005</t>
        </is>
      </c>
      <c r="B53" s="9" t="inlineStr">
        <is>
          <t>2026-01-10</t>
        </is>
      </c>
      <c r="C53" s="4" t="inlineStr">
        <is>
          <t>michael WILSON</t>
        </is>
      </c>
      <c r="D53" s="4" t="inlineStr">
        <is>
          <t>North</t>
        </is>
      </c>
      <c r="E53" s="4" t="inlineStr">
        <is>
          <t>Apparel</t>
        </is>
      </c>
      <c r="F53" s="4" t="n">
        <v>4</v>
      </c>
      <c r="G53" s="10" t="n">
        <v>75</v>
      </c>
      <c r="H53" s="4" t="inlineStr">
        <is>
          <t>David</t>
        </is>
      </c>
      <c r="I53" s="4">
        <f>PROPER(C53)</f>
        <v/>
      </c>
      <c r="J53" s="10">
        <f>F53*G53</f>
        <v/>
      </c>
      <c r="K53" s="4">
        <f>IF(J53&gt;=1000,"Large","Small")</f>
        <v/>
      </c>
      <c r="L53" s="4">
        <f>IFS(J53&gt;=2000,"Very High",J53&gt;=1000,"High",J53&gt;=500,"Medium",TRUE,"Low")</f>
        <v/>
      </c>
      <c r="M53" s="4">
        <f>IF(AND(J53&gt;=1000,F53&gt;=5),"Priority","Normal")</f>
        <v/>
      </c>
      <c r="N53" s="4">
        <f>IF(OR(F53&gt;=10,J53&gt;=2000),"Special","Normal")</f>
        <v/>
      </c>
      <c r="O53" s="10">
        <f>IFERROR(J53/F53,0)</f>
        <v/>
      </c>
    </row>
  </sheetData>
  <conditionalFormatting sqref="A2:A53">
    <cfRule type="expression" priority="1" dxfId="0">
      <formula>COUNTIF($A$2:$A$53,A2)&gt;1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Lookup Order ID</t>
        </is>
      </c>
      <c r="B1" s="2" t="inlineStr">
        <is>
          <t>XLOOKUP Customer</t>
        </is>
      </c>
      <c r="C1" s="2" t="inlineStr">
        <is>
          <t>VLOOKUP Customer</t>
        </is>
      </c>
      <c r="D1" s="2" t="inlineStr">
        <is>
          <t>INDEX/MATCH Customer</t>
        </is>
      </c>
    </row>
    <row r="2">
      <c r="A2" s="4" t="inlineStr">
        <is>
          <t>ORD-1001</t>
        </is>
      </c>
      <c r="B2" s="4">
        <f>XLOOKUP(A2,'Clean Data'!$A$2:$A$53,'Clean Data'!$I$2:$I$53,"Not Found")</f>
        <v/>
      </c>
      <c r="C2" s="4">
        <f>VLOOKUP(A2,'Clean Data'!$A$2:$I$53,9,FALSE)</f>
        <v/>
      </c>
      <c r="D2" s="4">
        <f>INDEX('Clean Data'!$I$2:$I$53,MATCH(A2,'Clean Data'!$A$2:$A$53,0))</f>
        <v/>
      </c>
    </row>
    <row r="3">
      <c r="A3" s="4" t="inlineStr">
        <is>
          <t>ORD-1010</t>
        </is>
      </c>
      <c r="B3" s="4">
        <f>XLOOKUP(A3,'Clean Data'!$A$2:$A$53,'Clean Data'!$I$2:$I$53,"Not Found")</f>
        <v/>
      </c>
      <c r="C3" s="4">
        <f>VLOOKUP(A3,'Clean Data'!$A$2:$I$53,9,FALSE)</f>
        <v/>
      </c>
      <c r="D3" s="4">
        <f>INDEX('Clean Data'!$I$2:$I$53,MATCH(A3,'Clean Data'!$A$2:$A$53,0))</f>
        <v/>
      </c>
    </row>
    <row r="4">
      <c r="A4" s="4" t="inlineStr">
        <is>
          <t>ORD-1028</t>
        </is>
      </c>
      <c r="B4" s="4">
        <f>XLOOKUP(A4,'Clean Data'!$A$2:$A$53,'Clean Data'!$I$2:$I$53,"Not Found")</f>
        <v/>
      </c>
      <c r="C4" s="4">
        <f>VLOOKUP(A4,'Clean Data'!$A$2:$I$53,9,FALSE)</f>
        <v/>
      </c>
      <c r="D4" s="4">
        <f>INDEX('Clean Data'!$I$2:$I$53,MATCH(A4,'Clean Data'!$A$2:$A$53,0))</f>
        <v/>
      </c>
    </row>
    <row r="5">
      <c r="A5" s="4" t="inlineStr">
        <is>
          <t>ORD-1050</t>
        </is>
      </c>
      <c r="B5" s="4">
        <f>XLOOKUP(A5,'Clean Data'!$A$2:$A$53,'Clean Data'!$I$2:$I$53,"Not Found")</f>
        <v/>
      </c>
      <c r="C5" s="4">
        <f>VLOOKUP(A5,'Clean Data'!$A$2:$I$53,9,FALSE)</f>
        <v/>
      </c>
      <c r="D5" s="4">
        <f>INDEX('Clean Data'!$I$2:$I$53,MATCH(A5,'Clean Data'!$A$2:$A$53,0))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  <col width="10" customWidth="1" min="4" max="4"/>
    <col width="19" customWidth="1" min="5" max="5"/>
    <col width="28" customWidth="1" min="6" max="6"/>
    <col width="28" customWidth="1" min="7" max="7"/>
    <col width="10" customWidth="1" min="8" max="8"/>
    <col width="20" customWidth="1" min="9" max="9"/>
    <col width="28" customWidth="1" min="10" max="10"/>
    <col width="28" customWidth="1" min="11" max="11"/>
  </cols>
  <sheetData>
    <row r="1">
      <c r="A1" s="2" t="inlineStr">
        <is>
          <t>Sales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inlineStr">
        <is>
          <t>Metric</t>
        </is>
      </c>
      <c r="B3" s="4" t="inlineStr">
        <is>
          <t>Formula / Result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inlineStr">
        <is>
          <t>Total Sales</t>
        </is>
      </c>
      <c r="B4" s="10">
        <f>SUM('Clean Data'!$J$2:$J$53)</f>
        <v/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inlineStr">
        <is>
          <t>Average Order Value</t>
        </is>
      </c>
      <c r="B5" s="10">
        <f>AVERAGE('Clean Data'!$J$2:$J$53)</f>
        <v/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inlineStr">
        <is>
          <t>Minimum Sale</t>
        </is>
      </c>
      <c r="B6" s="10">
        <f>MIN('Clean Data'!$J$2:$J$53)</f>
        <v/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Maximum Sale</t>
        </is>
      </c>
      <c r="B7" s="10">
        <f>MAX('Clean Data'!$J$2:$J$53)</f>
        <v/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Number of Orders</t>
        </is>
      </c>
      <c r="B8" s="11">
        <f>COUNT('Clean Data'!$J$2:$J$53)</f>
        <v/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inlineStr">
        <is>
          <t>Total Quantity</t>
        </is>
      </c>
      <c r="B9" s="11">
        <f>SUM('Clean Data'!$F$2:$F$53)</f>
        <v/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inlineStr">
        <is>
          <t>Sales by Region</t>
        </is>
      </c>
      <c r="B12" s="4" t="n"/>
      <c r="C12" s="4" t="n"/>
      <c r="D12" s="4" t="n"/>
      <c r="E12" s="4" t="inlineStr">
        <is>
          <t>Sales by Category</t>
        </is>
      </c>
      <c r="F12" s="4" t="n"/>
      <c r="G12" s="4" t="n"/>
      <c r="H12" s="4" t="n"/>
      <c r="I12" s="4" t="inlineStr">
        <is>
          <t>Sales by Sales Rep</t>
        </is>
      </c>
      <c r="J12" s="4" t="n"/>
      <c r="K12" s="4" t="n"/>
    </row>
    <row r="13">
      <c r="A13" s="4" t="inlineStr">
        <is>
          <t>Region</t>
        </is>
      </c>
      <c r="B13" s="4" t="inlineStr">
        <is>
          <t>Total Sales</t>
        </is>
      </c>
      <c r="C13" s="4" t="inlineStr">
        <is>
          <t>Orders</t>
        </is>
      </c>
      <c r="D13" s="4" t="n"/>
      <c r="E13" s="4" t="inlineStr">
        <is>
          <t>Product Category</t>
        </is>
      </c>
      <c r="F13" s="4" t="inlineStr">
        <is>
          <t>Total Sales</t>
        </is>
      </c>
      <c r="G13" s="4" t="inlineStr">
        <is>
          <t>Orders</t>
        </is>
      </c>
      <c r="H13" s="4" t="n"/>
      <c r="I13" s="4" t="inlineStr">
        <is>
          <t>Sales Rep</t>
        </is>
      </c>
      <c r="J13" s="4" t="inlineStr">
        <is>
          <t>Total Sales</t>
        </is>
      </c>
      <c r="K13" s="4" t="inlineStr">
        <is>
          <t>Orders</t>
        </is>
      </c>
    </row>
    <row r="14">
      <c r="A14" s="4" t="inlineStr">
        <is>
          <t>North</t>
        </is>
      </c>
      <c r="B14" s="10">
        <f>SUMIF('Clean Data'!$D$2:$D$53,A14,'Clean Data'!$J$2:$J$53)</f>
        <v/>
      </c>
      <c r="C14" s="4">
        <f>COUNTIF('Clean Data'!$D$2:$D$53,A14)</f>
        <v/>
      </c>
      <c r="D14" s="4" t="n"/>
      <c r="E14" s="4" t="inlineStr">
        <is>
          <t>Electronics</t>
        </is>
      </c>
      <c r="F14" s="10">
        <f>SUMIF('Clean Data'!$E$2:$E$53,E14,'Clean Data'!$J$2:$J$53)</f>
        <v/>
      </c>
      <c r="G14" s="4">
        <f>COUNTIF('Clean Data'!$E$2:$E$53,E14)</f>
        <v/>
      </c>
      <c r="H14" s="4" t="n"/>
      <c r="I14" s="4" t="inlineStr">
        <is>
          <t>Alice</t>
        </is>
      </c>
      <c r="J14" s="10">
        <f>SUMIF('Clean Data'!$H$2:$H$53,I14,'Clean Data'!$J$2:$J$53)</f>
        <v/>
      </c>
      <c r="K14" s="4">
        <f>COUNTIF('Clean Data'!$H$2:$H$53,I14)</f>
        <v/>
      </c>
    </row>
    <row r="15">
      <c r="A15" s="4" t="inlineStr">
        <is>
          <t>South</t>
        </is>
      </c>
      <c r="B15" s="10">
        <f>SUMIF('Clean Data'!$D$2:$D$53,A15,'Clean Data'!$J$2:$J$53)</f>
        <v/>
      </c>
      <c r="C15" s="4">
        <f>COUNTIF('Clean Data'!$D$2:$D$53,A15)</f>
        <v/>
      </c>
      <c r="D15" s="4" t="n"/>
      <c r="E15" s="4" t="inlineStr">
        <is>
          <t>Apparel</t>
        </is>
      </c>
      <c r="F15" s="10">
        <f>SUMIF('Clean Data'!$E$2:$E$53,E15,'Clean Data'!$J$2:$J$53)</f>
        <v/>
      </c>
      <c r="G15" s="4">
        <f>COUNTIF('Clean Data'!$E$2:$E$53,E15)</f>
        <v/>
      </c>
      <c r="H15" s="4" t="n"/>
      <c r="I15" s="4" t="inlineStr">
        <is>
          <t>Bob</t>
        </is>
      </c>
      <c r="J15" s="10">
        <f>SUMIF('Clean Data'!$H$2:$H$53,I15,'Clean Data'!$J$2:$J$53)</f>
        <v/>
      </c>
      <c r="K15" s="4">
        <f>COUNTIF('Clean Data'!$H$2:$H$53,I15)</f>
        <v/>
      </c>
    </row>
    <row r="16">
      <c r="A16" s="4" t="inlineStr">
        <is>
          <t>East</t>
        </is>
      </c>
      <c r="B16" s="10">
        <f>SUMIF('Clean Data'!$D$2:$D$53,A16,'Clean Data'!$J$2:$J$53)</f>
        <v/>
      </c>
      <c r="C16" s="4">
        <f>COUNTIF('Clean Data'!$D$2:$D$53,A16)</f>
        <v/>
      </c>
      <c r="D16" s="4" t="n"/>
      <c r="E16" s="4" t="inlineStr">
        <is>
          <t>Home</t>
        </is>
      </c>
      <c r="F16" s="10">
        <f>SUMIF('Clean Data'!$E$2:$E$53,E16,'Clean Data'!$J$2:$J$53)</f>
        <v/>
      </c>
      <c r="G16" s="4">
        <f>COUNTIF('Clean Data'!$E$2:$E$53,E16)</f>
        <v/>
      </c>
      <c r="H16" s="4" t="n"/>
      <c r="I16" s="4" t="inlineStr">
        <is>
          <t>Charlie</t>
        </is>
      </c>
      <c r="J16" s="10">
        <f>SUMIF('Clean Data'!$H$2:$H$53,I16,'Clean Data'!$J$2:$J$53)</f>
        <v/>
      </c>
      <c r="K16" s="4">
        <f>COUNTIF('Clean Data'!$H$2:$H$53,I16)</f>
        <v/>
      </c>
    </row>
    <row r="17">
      <c r="A17" s="4" t="inlineStr">
        <is>
          <t>West</t>
        </is>
      </c>
      <c r="B17" s="10">
        <f>SUMIF('Clean Data'!$D$2:$D$53,A17,'Clean Data'!$J$2:$J$53)</f>
        <v/>
      </c>
      <c r="C17" s="4">
        <f>COUNTIF('Clean Data'!$D$2:$D$53,A17)</f>
        <v/>
      </c>
      <c r="D17" s="4" t="n"/>
      <c r="E17" s="4" t="n"/>
      <c r="F17" s="10" t="n"/>
      <c r="G17" s="4" t="n"/>
      <c r="H17" s="4" t="n"/>
      <c r="I17" s="4" t="inlineStr">
        <is>
          <t>David</t>
        </is>
      </c>
      <c r="J17" s="10">
        <f>SUMIF('Clean Data'!$H$2:$H$53,I17,'Clean Data'!$J$2:$J$53)</f>
        <v/>
      </c>
      <c r="K17" s="4">
        <f>COUNTIF('Clean Data'!$H$2:$H$53,I17)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inlineStr">
        <is>
          <t>Monthly Sales Trend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inlineStr">
        <is>
          <t>Month</t>
        </is>
      </c>
      <c r="B21" s="4" t="inlineStr">
        <is>
          <t>Total Sales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inlineStr">
        <is>
          <t>2026-01</t>
        </is>
      </c>
      <c r="B22" s="10">
        <f>SUMIFS('Clean Data'!$J$2:$J$53,'Clean Data'!$B$2:$B$53,"&gt;="&amp;DATE(2026,1,1),'Clean Data'!$B$2:$B$53,"&lt;"&amp;EDATE(DATE(2026,1,1),1))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inlineStr">
        <is>
          <t>2026-02</t>
        </is>
      </c>
      <c r="B23" s="10">
        <f>SUMIFS('Clean Data'!$J$2:$J$53,'Clean Data'!$B$2:$B$53,"&gt;="&amp;DATE(2026,2,1),'Clean Data'!$B$2:$B$53,"&lt;"&amp;EDATE(DATE(2026,2,1),1))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inlineStr">
        <is>
          <t>2026-03</t>
        </is>
      </c>
      <c r="B24" s="10">
        <f>SUMIFS('Clean Data'!$J$2:$J$53,'Clean Data'!$B$2:$B$53,"&gt;="&amp;DATE(2026,3,1),'Clean Data'!$B$2:$B$53,"&lt;"&amp;EDATE(DATE(2026,3,1),1))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inlineStr">
        <is>
          <t>2026-04</t>
        </is>
      </c>
      <c r="B25" s="10">
        <f>SUMIFS('Clean Data'!$J$2:$J$53,'Clean Data'!$B$2:$B$53,"&gt;="&amp;DATE(2026,4,1),'Clean Data'!$B$2:$B$53,"&lt;"&amp;EDATE(DATE(2026,4,1),1))</f>
        <v/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inlineStr">
        <is>
          <t>2026-05</t>
        </is>
      </c>
      <c r="B26" s="10">
        <f>SUMIFS('Clean Data'!$J$2:$J$53,'Clean Data'!$B$2:$B$53,"&gt;="&amp;DATE(2026,5,1),'Clean Data'!$B$2:$B$53,"&lt;"&amp;EDATE(DATE(2026,5,1),1))</f>
        <v/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What to practice</t>
        </is>
      </c>
      <c r="C1" t="inlineStr">
        <is>
          <t>Where</t>
        </is>
      </c>
    </row>
    <row r="2">
      <c r="A2" t="inlineStr">
        <is>
          <t>1</t>
        </is>
      </c>
      <c r="B2" t="inlineStr">
        <is>
          <t>Clean names with PROPER</t>
        </is>
      </c>
      <c r="C2" t="inlineStr">
        <is>
          <t>Clean Data → Clean Customer Name</t>
        </is>
      </c>
    </row>
    <row r="3">
      <c r="A3" t="inlineStr">
        <is>
          <t>2</t>
        </is>
      </c>
      <c r="B3" t="inlineStr">
        <is>
          <t>Find duplicate Order IDs</t>
        </is>
      </c>
      <c r="C3" t="inlineStr">
        <is>
          <t>Clean Data → highlighted Order ID</t>
        </is>
      </c>
    </row>
    <row r="4">
      <c r="A4" t="inlineStr">
        <is>
          <t>3</t>
        </is>
      </c>
      <c r="B4" t="inlineStr">
        <is>
          <t>Calculate Total Sales</t>
        </is>
      </c>
      <c r="C4" t="inlineStr">
        <is>
          <t>Clean Data → Total Sales</t>
        </is>
      </c>
    </row>
    <row r="5">
      <c r="A5" t="inlineStr">
        <is>
          <t>4</t>
        </is>
      </c>
      <c r="B5" t="inlineStr">
        <is>
          <t>IF classification</t>
        </is>
      </c>
      <c r="C5" t="inlineStr">
        <is>
          <t>Clean Data → Order Size</t>
        </is>
      </c>
    </row>
    <row r="6">
      <c r="A6" t="inlineStr">
        <is>
          <t>5</t>
        </is>
      </c>
      <c r="B6" t="inlineStr">
        <is>
          <t>IFS classification</t>
        </is>
      </c>
      <c r="C6" t="inlineStr">
        <is>
          <t>Clean Data → Sales Level</t>
        </is>
      </c>
    </row>
    <row r="7">
      <c r="A7" t="inlineStr">
        <is>
          <t>6</t>
        </is>
      </c>
      <c r="B7" t="inlineStr">
        <is>
          <t>AND condition</t>
        </is>
      </c>
      <c r="C7" t="inlineStr">
        <is>
          <t>Clean Data → Priority Order</t>
        </is>
      </c>
    </row>
    <row r="8">
      <c r="A8" t="inlineStr">
        <is>
          <t>7</t>
        </is>
      </c>
      <c r="B8" t="inlineStr">
        <is>
          <t>OR condition</t>
        </is>
      </c>
      <c r="C8" t="inlineStr">
        <is>
          <t>Clean Data → Special Order</t>
        </is>
      </c>
    </row>
    <row r="9">
      <c r="A9" t="inlineStr">
        <is>
          <t>8</t>
        </is>
      </c>
      <c r="B9" t="inlineStr">
        <is>
          <t>IFERROR</t>
        </is>
      </c>
      <c r="C9" t="inlineStr">
        <is>
          <t>Clean Data → Price per Unit Check</t>
        </is>
      </c>
    </row>
    <row r="10">
      <c r="A10" t="inlineStr">
        <is>
          <t>9</t>
        </is>
      </c>
      <c r="B10" t="inlineStr">
        <is>
          <t>XLOOKUP</t>
        </is>
      </c>
      <c r="C10" t="inlineStr">
        <is>
          <t>Lookup Practice</t>
        </is>
      </c>
    </row>
    <row r="11">
      <c r="A11" t="inlineStr">
        <is>
          <t>10</t>
        </is>
      </c>
      <c r="B11" t="inlineStr">
        <is>
          <t>VLOOKUP</t>
        </is>
      </c>
      <c r="C11" t="inlineStr">
        <is>
          <t>Lookup Practice</t>
        </is>
      </c>
    </row>
    <row r="12">
      <c r="A12" t="inlineStr">
        <is>
          <t>11</t>
        </is>
      </c>
      <c r="B12" t="inlineStr">
        <is>
          <t>INDEX/MATCH</t>
        </is>
      </c>
      <c r="C12" t="inlineStr">
        <is>
          <t>Lookup Practice</t>
        </is>
      </c>
    </row>
    <row r="13">
      <c r="A13" t="inlineStr">
        <is>
          <t>12</t>
        </is>
      </c>
      <c r="B13" t="inlineStr">
        <is>
          <t>SUM/AVERAGE/MIN/MAX/COUNT</t>
        </is>
      </c>
      <c r="C13" t="inlineStr">
        <is>
          <t>Analysis</t>
        </is>
      </c>
    </row>
    <row r="14">
      <c r="A14" t="inlineStr">
        <is>
          <t>13</t>
        </is>
      </c>
      <c r="B14" t="inlineStr">
        <is>
          <t>Business analysis</t>
        </is>
      </c>
      <c r="C14" t="inlineStr">
        <is>
          <t>Analysis</t>
        </is>
      </c>
    </row>
    <row r="15">
      <c r="A15" t="inlineStr">
        <is>
          <t>14</t>
        </is>
      </c>
      <c r="B15" t="inlineStr">
        <is>
          <t>Dashboard charts</t>
        </is>
      </c>
      <c r="C15" t="inlineStr">
        <is>
          <t>Dashboard</t>
        </is>
      </c>
    </row>
    <row r="16">
      <c r="A16" t="inlineStr">
        <is>
          <t>15</t>
        </is>
      </c>
      <c r="B16" t="inlineStr">
        <is>
          <t>Rebuild it yourself</t>
        </is>
      </c>
      <c r="C16" t="inlineStr">
        <is>
          <t>Start from Raw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2026-10-08T09:17:50Z</dcterms:created>
  <dcterms:modified xmlns:dcterms="http://purl.org/dc/terms/" xmlns:xsi="http://www.w3.org/2001/XMLSchema-instance" xsi:type="dcterms:W3CDTF">2026-10-08T09:17:50Z</dcterms:modified>
</cp:coreProperties>
</file>